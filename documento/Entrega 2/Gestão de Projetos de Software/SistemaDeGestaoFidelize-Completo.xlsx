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rce\Downloads\"/>
    </mc:Choice>
  </mc:AlternateContent>
  <xr:revisionPtr revIDLastSave="0" documentId="13_ncr:1_{D916BAC6-53E5-460F-8F5F-6CA9D96B2C93}" xr6:coauthVersionLast="47" xr6:coauthVersionMax="47" xr10:uidLastSave="{00000000-0000-0000-0000-000000000000}"/>
  <bookViews>
    <workbookView xWindow="-108" yWindow="-108" windowWidth="23256" windowHeight="12456" tabRatio="854" firstSheet="14" activeTab="19" xr2:uid="{00000000-000D-0000-FFFF-FFFF00000000}"/>
  </bookViews>
  <sheets>
    <sheet name="Project Charter" sheetId="16" r:id="rId1"/>
    <sheet name="WBS-MACRO-ATIVIDADE" sheetId="14" r:id="rId2"/>
    <sheet name="WBS_Detalhado (ordem etapas)" sheetId="1" r:id="rId3"/>
    <sheet name="WBS_Detalhado (ordem depend)" sheetId="13" r:id="rId4"/>
    <sheet name="SAM SRM" sheetId="19" r:id="rId5"/>
    <sheet name="Diagrama de Seta" sheetId="21" r:id="rId6"/>
    <sheet name="Diagrama de rede-precedência" sheetId="22" r:id="rId7"/>
    <sheet name="Orçamento" sheetId="24" r:id="rId8"/>
    <sheet name="Execução Orçamentária" sheetId="25" r:id="rId9"/>
    <sheet name="Paramêtros" sheetId="26" r:id="rId10"/>
    <sheet name="Capa" sheetId="27" r:id="rId11"/>
    <sheet name="Identificar riscos" sheetId="28" r:id="rId12"/>
    <sheet name="Quantificar os riscos" sheetId="29" r:id="rId13"/>
    <sheet name="Qualificar os riscos" sheetId="30" r:id="rId14"/>
    <sheet name="Sensibilidade ao Risco" sheetId="31" r:id="rId15"/>
    <sheet name="Plano de Comunicação" sheetId="32" r:id="rId16"/>
    <sheet name="Planejamento de RH" sheetId="33" r:id="rId17"/>
    <sheet name="Organograma da Equipe" sheetId="34" r:id="rId18"/>
    <sheet name="Mapa Competência - Equipe" sheetId="35" r:id="rId19"/>
    <sheet name="Mapa de Responsabilidade" sheetId="36" r:id="rId20"/>
    <sheet name="Gráfico de Gantt" sheetId="18" state="hidden" r:id="rId21"/>
    <sheet name="PV_dependência" sheetId="17" state="hidden" r:id="rId22"/>
    <sheet name="Cronograma_de_Custos (2)" sheetId="6" state="hidden" r:id="rId23"/>
  </sheets>
  <externalReferences>
    <externalReference r:id="rId24"/>
    <externalReference r:id="rId25"/>
    <externalReference r:id="rId26"/>
    <externalReference r:id="rId27"/>
    <externalReference r:id="rId28"/>
    <externalReference r:id="rId29"/>
  </externalReferences>
  <definedNames>
    <definedName name="_xlnm._FilterDatabase" localSheetId="11" hidden="1">'Identificar riscos'!$A$6:$F$11</definedName>
    <definedName name="_xlnm._FilterDatabase" localSheetId="19" hidden="1">'Mapa de Responsabilidade'!$B$5:$G$90</definedName>
    <definedName name="_xlnm._FilterDatabase" localSheetId="13" hidden="1">'Qualificar os riscos'!$A$6:$J$11</definedName>
    <definedName name="_xlnm._FilterDatabase" localSheetId="12" hidden="1">'Quantificar os riscos'!$A$6:$E$11</definedName>
    <definedName name="A" localSheetId="8" hidden="1">{"'TG'!$A$1:$L$37"}</definedName>
    <definedName name="A" localSheetId="18" hidden="1">{"'TG'!$A$1:$L$37"}</definedName>
    <definedName name="A" localSheetId="19" hidden="1">{"'TG'!$A$1:$L$37"}</definedName>
    <definedName name="A" localSheetId="7" hidden="1">{"'TG'!$A$1:$L$37"}</definedName>
    <definedName name="A" localSheetId="17" hidden="1">{"'TG'!$A$1:$L$37"}</definedName>
    <definedName name="A" localSheetId="9" hidden="1">{"'TG'!$A$1:$L$37"}</definedName>
    <definedName name="A" localSheetId="16" hidden="1">{"'TG'!$A$1:$L$37"}</definedName>
    <definedName name="A" localSheetId="15" hidden="1">{"'TG'!$A$1:$L$37"}</definedName>
    <definedName name="A" hidden="1">{"'TG'!$A$1:$L$37"}</definedName>
    <definedName name="_xlnm.Print_Area" localSheetId="22">'Cronograma_de_Custos (2)'!$B$2:$X$18</definedName>
    <definedName name="_xlnm.Print_Area" localSheetId="11">'Identificar riscos'!$A$1:$L$27</definedName>
    <definedName name="_xlnm.Print_Area" localSheetId="18">'Mapa Competência - Equipe'!$B$8:$X$21</definedName>
    <definedName name="_xlnm.Print_Area" localSheetId="19">'Mapa de Responsabilidade'!$B$2:$J$90</definedName>
    <definedName name="_xlnm.Print_Area" localSheetId="13">'Qualificar os riscos'!$A$1:$K$11</definedName>
    <definedName name="_xlnm.Print_Area" localSheetId="12">'Quantificar os riscos'!$A$1:$E$11</definedName>
    <definedName name="Comprar">[1]Param!#REF!</definedName>
    <definedName name="E"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20">[2]CronogramaDeProjeto!$E1</definedName>
    <definedName name="Início_do_projeto" localSheetId="8">'[4]Gráfico de Gantt'!$G$5</definedName>
    <definedName name="Início_do_projeto" localSheetId="18">'[3]Gráfico de Gantt'!$G$5</definedName>
    <definedName name="Início_do_projeto" localSheetId="19">'[3]Gráfico de Gantt'!$G$5</definedName>
    <definedName name="Início_do_projeto" localSheetId="7">'[4]Gráfico de Gantt'!$G$5</definedName>
    <definedName name="Início_do_projeto" localSheetId="17">'[3]Gráfico de Gantt'!$G$5</definedName>
    <definedName name="Início_do_projeto" localSheetId="9">'[4]Gráfico de Gantt'!$G$5</definedName>
    <definedName name="Início_do_projeto" localSheetId="16">'[3]Gráfico de Gantt'!$G$5</definedName>
    <definedName name="Início_do_projeto" localSheetId="15">'[5]Gráfico de Gantt'!$G$5</definedName>
    <definedName name="Início_do_projeto">'Gráfico de Gantt'!$G$5</definedName>
    <definedName name="Periodicidade">[6]Param!$AB$5:$AB$9</definedName>
    <definedName name="progresso_da_tarefa" localSheetId="20">[2]CronogramaDeProjeto!$D1</definedName>
    <definedName name="Semana_de_exibição" localSheetId="8">'[4]Gráfico de Gantt'!$G$6</definedName>
    <definedName name="Semana_de_exibição" localSheetId="18">'[3]Gráfico de Gantt'!$G$6</definedName>
    <definedName name="Semana_de_exibição" localSheetId="19">'[3]Gráfico de Gantt'!$G$6</definedName>
    <definedName name="Semana_de_exibição" localSheetId="7">'[4]Gráfico de Gantt'!$G$6</definedName>
    <definedName name="Semana_de_exibição" localSheetId="17">'[3]Gráfico de Gantt'!$G$6</definedName>
    <definedName name="Semana_de_exibição" localSheetId="9">'[4]Gráfico de Gantt'!$G$6</definedName>
    <definedName name="Semana_de_exibição" localSheetId="16">'[3]Gráfico de Gantt'!$G$6</definedName>
    <definedName name="Semana_de_exibição" localSheetId="15">'[5]Gráfico de Gantt'!$G$6</definedName>
    <definedName name="Semana_de_exibição">'Gráfico de Gantt'!$G$6</definedName>
    <definedName name="Status">[1]Param!#REF!</definedName>
    <definedName name="t" localSheetId="8" hidden="1">{"'TG'!$A$1:$L$37"}</definedName>
    <definedName name="t" localSheetId="18" hidden="1">{"'TG'!$A$1:$L$37"}</definedName>
    <definedName name="t" localSheetId="19" hidden="1">{"'TG'!$A$1:$L$37"}</definedName>
    <definedName name="t" localSheetId="7" hidden="1">{"'TG'!$A$1:$L$37"}</definedName>
    <definedName name="t" localSheetId="17" hidden="1">{"'TG'!$A$1:$L$37"}</definedName>
    <definedName name="t" localSheetId="9" hidden="1">{"'TG'!$A$1:$L$37"}</definedName>
    <definedName name="t" localSheetId="16" hidden="1">{"'TG'!$A$1:$L$37"}</definedName>
    <definedName name="t" localSheetId="15" hidden="1">{"'TG'!$A$1:$L$37"}</definedName>
    <definedName name="t" hidden="1">{"'TG'!$A$1:$L$37"}</definedName>
    <definedName name="término_da_tarefa" localSheetId="20">[2]CronogramaDeProjeto!$F1</definedName>
    <definedName name="VersaoExcel">[6]Param!$D$15:$E$15</definedName>
    <definedName name="VersaoSR">[6]Param!$C$24:$C$26</definedName>
  </definedNames>
  <calcPr calcId="191029"/>
  <pivotCaches>
    <pivotCache cacheId="0" r:id="rId3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1" l="1"/>
  <c r="E4" i="31"/>
  <c r="E3" i="31"/>
  <c r="E2" i="31"/>
  <c r="M11" i="30"/>
  <c r="L11" i="30"/>
  <c r="H11" i="30"/>
  <c r="I11" i="30" s="1"/>
  <c r="J11" i="30" s="1"/>
  <c r="D11" i="30"/>
  <c r="C11" i="30"/>
  <c r="B11" i="30"/>
  <c r="A11" i="30"/>
  <c r="M10" i="30"/>
  <c r="L10" i="30"/>
  <c r="H10" i="30"/>
  <c r="I10" i="30" s="1"/>
  <c r="J10" i="30" s="1"/>
  <c r="D10" i="30"/>
  <c r="C10" i="30"/>
  <c r="B10" i="30"/>
  <c r="A10" i="30"/>
  <c r="M9" i="30"/>
  <c r="L9" i="30"/>
  <c r="H9" i="30"/>
  <c r="I9" i="30" s="1"/>
  <c r="J9" i="30" s="1"/>
  <c r="D9" i="30"/>
  <c r="C9" i="30"/>
  <c r="B9" i="30"/>
  <c r="A9" i="30"/>
  <c r="M8" i="30"/>
  <c r="L8" i="30"/>
  <c r="H8" i="30"/>
  <c r="I8" i="30" s="1"/>
  <c r="J8" i="30" s="1"/>
  <c r="D8" i="30"/>
  <c r="C8" i="30"/>
  <c r="B8" i="30"/>
  <c r="A8" i="30"/>
  <c r="D11" i="29"/>
  <c r="C11" i="29"/>
  <c r="B11" i="29"/>
  <c r="A11" i="29"/>
  <c r="D10" i="29"/>
  <c r="C10" i="29"/>
  <c r="B10" i="29"/>
  <c r="A10" i="29"/>
  <c r="D9" i="29"/>
  <c r="C9" i="29"/>
  <c r="B9" i="29"/>
  <c r="A9" i="29"/>
  <c r="D8" i="29"/>
  <c r="C8" i="29"/>
  <c r="B8" i="29"/>
  <c r="A8" i="29"/>
  <c r="H8" i="28"/>
  <c r="A4" i="28"/>
  <c r="B2" i="25"/>
  <c r="C3" i="25"/>
  <c r="C4" i="25"/>
  <c r="F4" i="25"/>
  <c r="G4" i="25"/>
  <c r="H4" i="25"/>
  <c r="I4" i="25"/>
  <c r="D5" i="25"/>
  <c r="E5" i="25"/>
  <c r="D6" i="25"/>
  <c r="E6" i="25"/>
  <c r="B9" i="25"/>
  <c r="F9" i="25"/>
  <c r="G9" i="25"/>
  <c r="H9" i="25"/>
  <c r="I9" i="25"/>
  <c r="J9" i="25"/>
  <c r="B11" i="25"/>
  <c r="F11" i="25"/>
  <c r="G11" i="25"/>
  <c r="H11" i="25"/>
  <c r="I11" i="25"/>
  <c r="J11" i="25"/>
  <c r="G12" i="25"/>
  <c r="H12" i="25"/>
  <c r="I12" i="25"/>
  <c r="B13" i="25"/>
  <c r="F13" i="25"/>
  <c r="G13" i="25"/>
  <c r="H13" i="25"/>
  <c r="I13" i="25"/>
  <c r="J13" i="25"/>
  <c r="G14" i="25"/>
  <c r="H14" i="25"/>
  <c r="I14" i="25"/>
  <c r="B15" i="25"/>
  <c r="F15" i="25"/>
  <c r="G15" i="25"/>
  <c r="H15" i="25"/>
  <c r="I15" i="25"/>
  <c r="J15" i="25"/>
  <c r="G16" i="25"/>
  <c r="H16" i="25"/>
  <c r="I16" i="25"/>
  <c r="B17" i="25"/>
  <c r="F17" i="25"/>
  <c r="G17" i="25"/>
  <c r="H17" i="25"/>
  <c r="I17" i="25"/>
  <c r="J17" i="25"/>
  <c r="G18" i="25"/>
  <c r="H18" i="25"/>
  <c r="I18" i="25"/>
  <c r="B19" i="25"/>
  <c r="F19" i="25"/>
  <c r="G19" i="25"/>
  <c r="H19" i="25"/>
  <c r="I19" i="25"/>
  <c r="J19" i="25"/>
  <c r="G20" i="25"/>
  <c r="H20" i="25"/>
  <c r="I20" i="25"/>
  <c r="B21" i="25"/>
  <c r="F21" i="25"/>
  <c r="G21" i="25"/>
  <c r="H21" i="25"/>
  <c r="I21" i="25"/>
  <c r="J21" i="25"/>
  <c r="G22" i="25"/>
  <c r="H22" i="25"/>
  <c r="I22" i="25"/>
  <c r="B23" i="25"/>
  <c r="F23" i="25"/>
  <c r="G23" i="25"/>
  <c r="H23" i="25"/>
  <c r="I23" i="25"/>
  <c r="J23" i="25"/>
  <c r="G24" i="25"/>
  <c r="H24" i="25"/>
  <c r="I24" i="25"/>
  <c r="B25" i="25"/>
  <c r="F25" i="25"/>
  <c r="G25" i="25"/>
  <c r="H25" i="25"/>
  <c r="I25" i="25"/>
  <c r="J25" i="25"/>
  <c r="G26" i="25"/>
  <c r="H26" i="25"/>
  <c r="I26" i="25"/>
  <c r="B27" i="25"/>
  <c r="F27" i="25"/>
  <c r="G27" i="25"/>
  <c r="H27" i="25"/>
  <c r="I27" i="25"/>
  <c r="J27" i="25"/>
  <c r="G28" i="25"/>
  <c r="H28" i="25"/>
  <c r="I28" i="25"/>
  <c r="B29" i="25"/>
  <c r="F29" i="25"/>
  <c r="G29" i="25"/>
  <c r="H29" i="25"/>
  <c r="I29" i="25"/>
  <c r="J29" i="25"/>
  <c r="B39" i="25"/>
  <c r="F39" i="25"/>
  <c r="G39" i="25"/>
  <c r="H39" i="25"/>
  <c r="I39" i="25"/>
  <c r="J39" i="25"/>
  <c r="K39" i="25"/>
  <c r="L39" i="25"/>
  <c r="M39" i="25"/>
  <c r="N39" i="25"/>
  <c r="O39" i="25"/>
  <c r="P39" i="25"/>
  <c r="Q39" i="25"/>
  <c r="B40" i="25"/>
  <c r="F40" i="25"/>
  <c r="G40" i="25"/>
  <c r="H40" i="25"/>
  <c r="I40" i="25"/>
  <c r="J40" i="25"/>
  <c r="K40" i="25"/>
  <c r="L40" i="25"/>
  <c r="M40" i="25"/>
  <c r="N40" i="25"/>
  <c r="O40" i="25"/>
  <c r="P40" i="25"/>
  <c r="Q40" i="25"/>
  <c r="B41" i="25"/>
  <c r="F41" i="25"/>
  <c r="G41" i="25"/>
  <c r="H41" i="25"/>
  <c r="I41" i="25"/>
  <c r="J41" i="25"/>
  <c r="K41" i="25"/>
  <c r="L41" i="25"/>
  <c r="M41" i="25"/>
  <c r="N41" i="25"/>
  <c r="O41" i="25"/>
  <c r="P41" i="25"/>
  <c r="Q41" i="25"/>
  <c r="B42" i="25"/>
  <c r="F42" i="25"/>
  <c r="G42" i="25"/>
  <c r="H42" i="25"/>
  <c r="I42" i="25"/>
  <c r="J42" i="25"/>
  <c r="K42" i="25"/>
  <c r="L42" i="25"/>
  <c r="M42" i="25"/>
  <c r="N42" i="25"/>
  <c r="O42" i="25"/>
  <c r="P42" i="25"/>
  <c r="Q42" i="25"/>
  <c r="B43" i="25"/>
  <c r="F43" i="25"/>
  <c r="G43" i="25"/>
  <c r="H43" i="25"/>
  <c r="I43" i="25"/>
  <c r="J43" i="25"/>
  <c r="K43" i="25"/>
  <c r="L43" i="25"/>
  <c r="M43" i="25"/>
  <c r="N43" i="25"/>
  <c r="O43" i="25"/>
  <c r="P43" i="25"/>
  <c r="Q43" i="25"/>
  <c r="B44" i="25"/>
  <c r="F44" i="25"/>
  <c r="G44" i="25"/>
  <c r="H44" i="25"/>
  <c r="I44" i="25"/>
  <c r="J44" i="25"/>
  <c r="K44" i="25"/>
  <c r="L44" i="25"/>
  <c r="M44" i="25"/>
  <c r="N44" i="25"/>
  <c r="O44" i="25"/>
  <c r="P44" i="25"/>
  <c r="Q44" i="25"/>
  <c r="B45" i="25"/>
  <c r="F45" i="25"/>
  <c r="G45" i="25"/>
  <c r="H45" i="25"/>
  <c r="I45" i="25"/>
  <c r="J45" i="25"/>
  <c r="K45" i="25"/>
  <c r="L45" i="25"/>
  <c r="M45" i="25"/>
  <c r="N45" i="25"/>
  <c r="O45" i="25"/>
  <c r="P45" i="25"/>
  <c r="Q45" i="25"/>
  <c r="B46" i="25"/>
  <c r="F46" i="25"/>
  <c r="G46" i="25"/>
  <c r="H46" i="25"/>
  <c r="I46" i="25"/>
  <c r="J46" i="25"/>
  <c r="K46" i="25"/>
  <c r="L46" i="25"/>
  <c r="M46" i="25"/>
  <c r="N46" i="25"/>
  <c r="O46" i="25"/>
  <c r="P46" i="25"/>
  <c r="Q46" i="25"/>
  <c r="B47" i="25"/>
  <c r="F47" i="25"/>
  <c r="G47" i="25"/>
  <c r="H47" i="25"/>
  <c r="I47" i="25"/>
  <c r="J47" i="25"/>
  <c r="K47" i="25"/>
  <c r="L47" i="25"/>
  <c r="M47" i="25"/>
  <c r="N47" i="25"/>
  <c r="O47" i="25"/>
  <c r="P47" i="25"/>
  <c r="Q47" i="25"/>
  <c r="B48" i="25"/>
  <c r="F48" i="25"/>
  <c r="G48" i="25"/>
  <c r="H48" i="25"/>
  <c r="I48" i="25"/>
  <c r="J48" i="25"/>
  <c r="K48" i="25"/>
  <c r="L48" i="25"/>
  <c r="M48" i="25"/>
  <c r="N48" i="25"/>
  <c r="O48" i="25"/>
  <c r="P48" i="25"/>
  <c r="Q48" i="25"/>
  <c r="B49" i="25"/>
  <c r="F49" i="25"/>
  <c r="G49" i="25"/>
  <c r="H49" i="25"/>
  <c r="I49" i="25"/>
  <c r="J49" i="25"/>
  <c r="K49" i="25"/>
  <c r="L49" i="25"/>
  <c r="M49" i="25"/>
  <c r="N49" i="25"/>
  <c r="O49" i="25"/>
  <c r="P49" i="25"/>
  <c r="Q49" i="25"/>
  <c r="B50" i="25"/>
  <c r="F50" i="25"/>
  <c r="G50" i="25"/>
  <c r="H50" i="25"/>
  <c r="I50" i="25"/>
  <c r="J50" i="25"/>
  <c r="K50" i="25"/>
  <c r="L50" i="25"/>
  <c r="M50" i="25"/>
  <c r="N50" i="25"/>
  <c r="O50" i="25"/>
  <c r="P50" i="25"/>
  <c r="Q50" i="25"/>
  <c r="B51" i="25"/>
  <c r="F51" i="25"/>
  <c r="G51" i="25"/>
  <c r="H51" i="25"/>
  <c r="I51" i="25"/>
  <c r="J51" i="25"/>
  <c r="K51" i="25"/>
  <c r="L51" i="25"/>
  <c r="M51" i="25"/>
  <c r="N51" i="25"/>
  <c r="O51" i="25"/>
  <c r="P51" i="25"/>
  <c r="Q51" i="25"/>
  <c r="B52" i="25"/>
  <c r="F52" i="25"/>
  <c r="G52" i="25"/>
  <c r="H52" i="25"/>
  <c r="I52" i="25"/>
  <c r="J52" i="25"/>
  <c r="K52" i="25"/>
  <c r="L52" i="25"/>
  <c r="M52" i="25"/>
  <c r="N52" i="25"/>
  <c r="O52" i="25"/>
  <c r="P52" i="25"/>
  <c r="Q52" i="25"/>
  <c r="D59" i="25"/>
  <c r="C3" i="24"/>
  <c r="E3" i="24"/>
  <c r="E3" i="25" s="1"/>
  <c r="F3" i="24"/>
  <c r="F3" i="25" s="1"/>
  <c r="G3" i="24"/>
  <c r="G3" i="25" s="1"/>
  <c r="H3" i="24"/>
  <c r="H3" i="25" s="1"/>
  <c r="I3" i="24"/>
  <c r="I3" i="25" s="1"/>
  <c r="C4" i="24"/>
  <c r="F4" i="24"/>
  <c r="G4" i="24"/>
  <c r="H4" i="24"/>
  <c r="I4" i="24"/>
  <c r="D5" i="24"/>
  <c r="E5" i="24"/>
  <c r="J5" i="24"/>
  <c r="D6" i="24"/>
  <c r="E6" i="24"/>
  <c r="F9" i="24"/>
  <c r="I9" i="24"/>
  <c r="J9" i="24"/>
  <c r="G10" i="24"/>
  <c r="H10" i="24"/>
  <c r="I10" i="24"/>
  <c r="F11" i="24"/>
  <c r="G11" i="24"/>
  <c r="H11" i="24"/>
  <c r="I11" i="24"/>
  <c r="J11" i="24"/>
  <c r="G12" i="24"/>
  <c r="H12" i="24"/>
  <c r="I12" i="24"/>
  <c r="F13" i="24"/>
  <c r="G13" i="24"/>
  <c r="H13" i="24"/>
  <c r="I13" i="24"/>
  <c r="J13" i="24"/>
  <c r="G14" i="24"/>
  <c r="H14" i="24"/>
  <c r="I14" i="24"/>
  <c r="F15" i="24"/>
  <c r="G15" i="24"/>
  <c r="H15" i="24"/>
  <c r="I15" i="24"/>
  <c r="J15" i="24"/>
  <c r="G16" i="24"/>
  <c r="H16" i="24"/>
  <c r="I16" i="24"/>
  <c r="F17" i="24"/>
  <c r="G17" i="24"/>
  <c r="H17" i="24"/>
  <c r="I17" i="24"/>
  <c r="J17" i="24"/>
  <c r="G18" i="24"/>
  <c r="H18" i="24"/>
  <c r="I18" i="24"/>
  <c r="F19" i="24"/>
  <c r="G19" i="24"/>
  <c r="H19" i="24"/>
  <c r="I19" i="24"/>
  <c r="J19" i="24"/>
  <c r="G20" i="24"/>
  <c r="H20" i="24"/>
  <c r="I20" i="24"/>
  <c r="F21" i="24"/>
  <c r="G21" i="24"/>
  <c r="H21" i="24"/>
  <c r="I21" i="24"/>
  <c r="J21" i="24"/>
  <c r="G22" i="24"/>
  <c r="H22" i="24"/>
  <c r="I22" i="24"/>
  <c r="F23" i="24"/>
  <c r="G23" i="24"/>
  <c r="H23" i="24"/>
  <c r="I23" i="24"/>
  <c r="J23" i="24"/>
  <c r="G24" i="24"/>
  <c r="H24" i="24"/>
  <c r="I24" i="24"/>
  <c r="F25" i="24"/>
  <c r="G25" i="24"/>
  <c r="H25" i="24"/>
  <c r="I25" i="24"/>
  <c r="J25" i="24"/>
  <c r="G26" i="24"/>
  <c r="H26" i="24"/>
  <c r="I26" i="24"/>
  <c r="F27" i="24"/>
  <c r="G27" i="24"/>
  <c r="H27" i="24"/>
  <c r="I27" i="24"/>
  <c r="J27" i="24"/>
  <c r="G28" i="24"/>
  <c r="H28" i="24"/>
  <c r="I28" i="24"/>
  <c r="F29" i="24"/>
  <c r="G29" i="24"/>
  <c r="H29" i="24"/>
  <c r="I29" i="24"/>
  <c r="J29" i="24"/>
  <c r="T16" i="22"/>
  <c r="S15" i="22"/>
  <c r="S16" i="22" s="1"/>
  <c r="A4" i="30" l="1"/>
  <c r="A4" i="29"/>
  <c r="I5" i="25"/>
  <c r="H5" i="25"/>
  <c r="G5" i="25"/>
  <c r="F5" i="25"/>
  <c r="H5" i="24"/>
  <c r="G5" i="24"/>
  <c r="I5" i="24"/>
  <c r="F5" i="24"/>
  <c r="F6" i="24" s="1"/>
  <c r="G6" i="24" s="1"/>
  <c r="H6" i="24" s="1"/>
  <c r="I6" i="24" s="1"/>
  <c r="K41" i="1"/>
  <c r="J5" i="25" l="1"/>
  <c r="F6" i="25"/>
  <c r="D61" i="25"/>
  <c r="K29" i="1"/>
  <c r="K22" i="1"/>
  <c r="K14" i="1"/>
  <c r="K65" i="1"/>
  <c r="K61" i="1"/>
  <c r="K57" i="1"/>
  <c r="K53" i="1"/>
  <c r="K49" i="1"/>
  <c r="K45" i="1"/>
  <c r="K37" i="1"/>
  <c r="G6" i="25" l="1"/>
  <c r="H6" i="25" s="1"/>
  <c r="I6" i="25" s="1"/>
  <c r="D60" i="25"/>
  <c r="K66" i="1"/>
  <c r="J35" i="18"/>
  <c r="J34" i="18"/>
  <c r="J33" i="18"/>
  <c r="J32" i="18"/>
  <c r="J31" i="18"/>
  <c r="J30" i="18"/>
  <c r="J29" i="18"/>
  <c r="J28" i="18"/>
  <c r="J22" i="18"/>
  <c r="J16" i="18"/>
  <c r="J10" i="18"/>
  <c r="J9" i="18"/>
  <c r="G11" i="18"/>
  <c r="H11" i="18" s="1"/>
  <c r="H18" i="6"/>
  <c r="L18" i="6"/>
  <c r="P18" i="6"/>
  <c r="T18" i="6"/>
  <c r="X18" i="6"/>
  <c r="K7" i="18"/>
  <c r="K8" i="18" s="1"/>
  <c r="J11" i="18"/>
  <c r="J23" i="18"/>
  <c r="J12" i="18"/>
  <c r="J24" i="18"/>
  <c r="J15" i="18"/>
  <c r="J13" i="18"/>
  <c r="J25" i="18"/>
  <c r="J17" i="18"/>
  <c r="J14" i="18"/>
  <c r="J18" i="18"/>
  <c r="J27" i="18"/>
  <c r="J26" i="18"/>
  <c r="J19" i="18"/>
  <c r="J20" i="18"/>
  <c r="J21" i="18"/>
  <c r="K6" i="18" l="1"/>
  <c r="L7" i="18"/>
  <c r="M7" i="18" l="1"/>
  <c r="L8" i="18"/>
  <c r="M8" i="18" l="1"/>
  <c r="N7" i="18"/>
  <c r="N8" i="18" l="1"/>
  <c r="O7" i="18"/>
  <c r="O8" i="18" l="1"/>
  <c r="P7" i="18"/>
  <c r="Q7" i="18" l="1"/>
  <c r="P8" i="18"/>
  <c r="Q8" i="18" l="1"/>
  <c r="R7" i="18"/>
  <c r="R6" i="18" l="1"/>
  <c r="S7" i="18"/>
  <c r="R8" i="18"/>
  <c r="S8" i="18" l="1"/>
  <c r="T7" i="18"/>
  <c r="U7" i="18" l="1"/>
  <c r="T8" i="18"/>
  <c r="U8" i="18" l="1"/>
  <c r="V7" i="18"/>
  <c r="W7" i="18" l="1"/>
  <c r="V8" i="18"/>
  <c r="W8" i="18" l="1"/>
  <c r="X7" i="18"/>
  <c r="X8" i="18" l="1"/>
  <c r="Y7" i="18"/>
  <c r="Z7" i="18" l="1"/>
  <c r="Y8" i="18"/>
  <c r="Y6" i="18"/>
  <c r="Z8" i="18" l="1"/>
  <c r="AA7" i="18"/>
  <c r="AB7" i="18" l="1"/>
  <c r="AA8" i="18"/>
  <c r="AC7" i="18" l="1"/>
  <c r="AB8" i="18"/>
  <c r="AC8" i="18" l="1"/>
  <c r="AD7" i="18"/>
  <c r="AE7" i="18" l="1"/>
  <c r="AD8" i="18"/>
  <c r="AE8" i="18" l="1"/>
  <c r="AF7" i="18"/>
  <c r="AF6" i="18" l="1"/>
  <c r="AG7" i="18"/>
  <c r="AF8" i="18"/>
  <c r="AH7" i="18" l="1"/>
  <c r="AG8" i="18"/>
  <c r="AI7" i="18" l="1"/>
  <c r="AH8" i="18"/>
  <c r="AI8" i="18" l="1"/>
  <c r="AJ7" i="18"/>
  <c r="AK7" i="18" l="1"/>
  <c r="AJ8" i="18"/>
  <c r="AK8" i="18" l="1"/>
  <c r="AL7" i="18"/>
  <c r="AL8" i="18" l="1"/>
  <c r="AM7" i="18"/>
  <c r="AM6" i="18" l="1"/>
  <c r="AM8" i="18"/>
  <c r="AN7" i="18"/>
  <c r="AN8" i="18" l="1"/>
  <c r="AO7" i="18"/>
  <c r="AP7" i="18" l="1"/>
  <c r="AO8" i="18"/>
  <c r="AP8" i="18" l="1"/>
  <c r="AQ7" i="18"/>
  <c r="AR7" i="18" l="1"/>
  <c r="AQ8" i="18"/>
  <c r="AR8" i="18" l="1"/>
  <c r="AS7" i="18"/>
  <c r="AT7" i="18" l="1"/>
  <c r="AS8" i="18"/>
  <c r="AT6" i="18" l="1"/>
  <c r="AT8" i="18"/>
  <c r="AU7" i="18"/>
  <c r="AU8" i="18" l="1"/>
  <c r="AV7" i="18"/>
  <c r="AV8" i="18" l="1"/>
  <c r="AW7" i="18"/>
  <c r="AW8" i="18" l="1"/>
  <c r="AX7" i="18"/>
  <c r="AX8" i="18" l="1"/>
  <c r="AY7" i="18"/>
  <c r="AZ7" i="18" l="1"/>
  <c r="AY8" i="18"/>
  <c r="BA7" i="18" l="1"/>
  <c r="AZ8" i="18"/>
  <c r="BA6" i="18" l="1"/>
  <c r="BA8" i="18"/>
  <c r="BB7" i="18"/>
  <c r="BB8" i="18" l="1"/>
  <c r="BC7" i="18"/>
  <c r="BC8" i="18" l="1"/>
  <c r="BD7" i="18"/>
  <c r="BE7" i="18" l="1"/>
  <c r="BD8" i="18"/>
  <c r="BE8" i="18" l="1"/>
  <c r="BF7" i="18"/>
  <c r="BG7" i="18" l="1"/>
  <c r="BF8" i="18"/>
  <c r="BH7" i="18" l="1"/>
  <c r="BG8" i="18"/>
  <c r="BH6" i="18" l="1"/>
  <c r="BH8" i="18"/>
  <c r="BI7" i="18"/>
  <c r="BI8" i="18" l="1"/>
  <c r="BJ7" i="18"/>
  <c r="BJ8" i="18" l="1"/>
  <c r="BK7" i="18"/>
  <c r="BK8" i="18" l="1"/>
  <c r="BL7" i="18"/>
  <c r="BM7" i="18" l="1"/>
  <c r="BL8" i="18"/>
  <c r="BN7" i="18" l="1"/>
  <c r="BN8" i="18" s="1"/>
  <c r="BM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0090D73E-6CEF-4C91-AB46-A43EEC3BDA5A}">
      <text>
        <r>
          <rPr>
            <b/>
            <sz val="9"/>
            <color indexed="81"/>
            <rFont val="Tahoma"/>
            <family val="2"/>
          </rPr>
          <t>Eduardo Montes, PMP:</t>
        </r>
        <r>
          <rPr>
            <sz val="9"/>
            <color indexed="81"/>
            <rFont val="Tahoma"/>
            <family val="2"/>
          </rPr>
          <t xml:space="preserve">
Explique o ganho financeiro e forma de cálculo</t>
        </r>
      </text>
    </comment>
    <comment ref="B10" authorId="0" shapeId="0" xr:uid="{D909A8AD-6538-4F10-9AA7-0F7FBB44459C}">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1" authorId="0" shapeId="0" xr:uid="{307081DD-526B-40FB-8142-01592BF94EF6}">
      <text>
        <r>
          <rPr>
            <b/>
            <sz val="9"/>
            <color indexed="81"/>
            <rFont val="Tahoma"/>
            <family val="2"/>
          </rPr>
          <t>Eduardo Montes, PMP:</t>
        </r>
        <r>
          <rPr>
            <sz val="9"/>
            <color indexed="81"/>
            <rFont val="Tahoma"/>
            <family val="2"/>
          </rPr>
          <t xml:space="preserve">
Explique o ganho financeiro e forma de cálculo</t>
        </r>
      </text>
    </comment>
    <comment ref="B12" authorId="0" shapeId="0" xr:uid="{A9F0E159-5814-4F44-A1EB-7D2AF579A1DB}">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3" authorId="0" shapeId="0" xr:uid="{43F4CE14-50D9-44F2-8810-D78353986B04}">
      <text>
        <r>
          <rPr>
            <b/>
            <sz val="9"/>
            <color indexed="81"/>
            <rFont val="Tahoma"/>
            <family val="2"/>
          </rPr>
          <t>Eduardo Montes, PMP:</t>
        </r>
        <r>
          <rPr>
            <sz val="9"/>
            <color indexed="81"/>
            <rFont val="Tahoma"/>
            <family val="2"/>
          </rPr>
          <t xml:space="preserve">
Explique o ganho financeiro e forma de cálculo</t>
        </r>
      </text>
    </comment>
    <comment ref="B14" authorId="0" shapeId="0" xr:uid="{F0529566-474A-48EF-8E91-5EA9C01F3FD9}">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5" authorId="0" shapeId="0" xr:uid="{59FE704C-5C9C-4F92-A101-EB3A7DCF1B34}">
      <text>
        <r>
          <rPr>
            <b/>
            <sz val="9"/>
            <color indexed="81"/>
            <rFont val="Tahoma"/>
            <family val="2"/>
          </rPr>
          <t>Eduardo Montes, PMP:</t>
        </r>
        <r>
          <rPr>
            <sz val="9"/>
            <color indexed="81"/>
            <rFont val="Tahoma"/>
            <family val="2"/>
          </rPr>
          <t xml:space="preserve">
Explique o ganho financeiro e forma de cálculo</t>
        </r>
      </text>
    </comment>
    <comment ref="B16" authorId="0" shapeId="0" xr:uid="{9B1439E1-3931-4D09-9D93-DEAE3AFB2714}">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7" authorId="0" shapeId="0" xr:uid="{0D05AE9A-6005-4BCC-8F42-9C6567878B12}">
      <text>
        <r>
          <rPr>
            <b/>
            <sz val="9"/>
            <color indexed="81"/>
            <rFont val="Tahoma"/>
            <family val="2"/>
          </rPr>
          <t>Eduardo Montes, PMP:</t>
        </r>
        <r>
          <rPr>
            <sz val="9"/>
            <color indexed="81"/>
            <rFont val="Tahoma"/>
            <family val="2"/>
          </rPr>
          <t xml:space="preserve">
Explique o ganho financeiro e forma de cálculo</t>
        </r>
      </text>
    </comment>
    <comment ref="B18" authorId="0" shapeId="0" xr:uid="{0B49801B-5C2E-4DE9-A346-564FC3C1E7A3}">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9" authorId="0" shapeId="0" xr:uid="{6820B822-94C7-4A43-83E6-1B29D5E41DCD}">
      <text>
        <r>
          <rPr>
            <b/>
            <sz val="9"/>
            <color indexed="81"/>
            <rFont val="Tahoma"/>
            <family val="2"/>
          </rPr>
          <t>Eduardo Montes, PMP:</t>
        </r>
        <r>
          <rPr>
            <sz val="9"/>
            <color indexed="81"/>
            <rFont val="Tahoma"/>
            <family val="2"/>
          </rPr>
          <t xml:space="preserve">
Explique o ganho financeiro e forma de cálculo</t>
        </r>
      </text>
    </comment>
    <comment ref="B20" authorId="0" shapeId="0" xr:uid="{46F6875E-BB21-439B-82BB-CF02EB979672}">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1" authorId="0" shapeId="0" xr:uid="{19A9423E-7020-45BC-AA1B-F38834C915C0}">
      <text>
        <r>
          <rPr>
            <b/>
            <sz val="9"/>
            <color indexed="81"/>
            <rFont val="Tahoma"/>
            <family val="2"/>
          </rPr>
          <t>Eduardo Montes, PMP:</t>
        </r>
        <r>
          <rPr>
            <sz val="9"/>
            <color indexed="81"/>
            <rFont val="Tahoma"/>
            <family val="2"/>
          </rPr>
          <t xml:space="preserve">
Explique o ganho financeiro e forma de cálculo</t>
        </r>
      </text>
    </comment>
    <comment ref="B22" authorId="0" shapeId="0" xr:uid="{CF81F7ED-2817-4412-A260-B0F8A0A184A3}">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3" authorId="0" shapeId="0" xr:uid="{554C31B5-22EE-4BC8-B92D-36C412D6512B}">
      <text>
        <r>
          <rPr>
            <b/>
            <sz val="9"/>
            <color indexed="81"/>
            <rFont val="Tahoma"/>
            <family val="2"/>
          </rPr>
          <t>Eduardo Montes, PMP:</t>
        </r>
        <r>
          <rPr>
            <sz val="9"/>
            <color indexed="81"/>
            <rFont val="Tahoma"/>
            <family val="2"/>
          </rPr>
          <t xml:space="preserve">
Explique o ganho financeiro e forma de cálculo</t>
        </r>
      </text>
    </comment>
    <comment ref="B24" authorId="0" shapeId="0" xr:uid="{42FE33D3-CF9B-42A6-A8E7-E42F9B5D18C1}">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5" authorId="0" shapeId="0" xr:uid="{178B6183-660B-4D66-88B0-8EBAD9E1CD36}">
      <text>
        <r>
          <rPr>
            <b/>
            <sz val="9"/>
            <color indexed="81"/>
            <rFont val="Tahoma"/>
            <family val="2"/>
          </rPr>
          <t>Eduardo Montes, PMP:</t>
        </r>
        <r>
          <rPr>
            <sz val="9"/>
            <color indexed="81"/>
            <rFont val="Tahoma"/>
            <family val="2"/>
          </rPr>
          <t xml:space="preserve">
Explique o ganho financeiro e forma de cálculo</t>
        </r>
      </text>
    </comment>
    <comment ref="B26" authorId="0" shapeId="0" xr:uid="{E5CE19BC-C6A8-41EA-A34B-4F7767E30EAE}">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7" authorId="0" shapeId="0" xr:uid="{81510A79-B294-4C14-8BB1-C1DE8748B556}">
      <text>
        <r>
          <rPr>
            <b/>
            <sz val="9"/>
            <color indexed="81"/>
            <rFont val="Tahoma"/>
            <family val="2"/>
          </rPr>
          <t>Eduardo Montes, PMP:</t>
        </r>
        <r>
          <rPr>
            <sz val="9"/>
            <color indexed="81"/>
            <rFont val="Tahoma"/>
            <family val="2"/>
          </rPr>
          <t xml:space="preserve">
Explique o ganho financeiro e forma de cálculo</t>
        </r>
      </text>
    </comment>
    <comment ref="B28" authorId="0" shapeId="0" xr:uid="{70941643-A2A2-4FFA-ADB2-58283E628A3F}">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9" authorId="0" shapeId="0" xr:uid="{6B6E1068-0D6C-4E08-ABEC-11E40E2BB262}">
      <text>
        <r>
          <rPr>
            <b/>
            <sz val="9"/>
            <color indexed="81"/>
            <rFont val="Tahoma"/>
            <family val="2"/>
          </rPr>
          <t>Eduardo Montes, PMP:</t>
        </r>
        <r>
          <rPr>
            <sz val="9"/>
            <color indexed="81"/>
            <rFont val="Tahoma"/>
            <family val="2"/>
          </rPr>
          <t xml:space="preserve">
Explique o ganho financeiro e forma de cálculo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6E283095-DECC-43F6-828E-B8075232961D}">
      <text>
        <r>
          <rPr>
            <b/>
            <sz val="9"/>
            <color indexed="81"/>
            <rFont val="Tahoma"/>
            <family val="2"/>
          </rPr>
          <t>Eduardo Montes, PMP:</t>
        </r>
        <r>
          <rPr>
            <sz val="9"/>
            <color indexed="81"/>
            <rFont val="Tahoma"/>
            <family val="2"/>
          </rPr>
          <t xml:space="preserve">
Explique o ganho financeiro e forma de cálculo</t>
        </r>
      </text>
    </comment>
    <comment ref="C11" authorId="0" shapeId="0" xr:uid="{64D7D555-6448-4561-995C-4CB090A39B7F}">
      <text>
        <r>
          <rPr>
            <b/>
            <sz val="9"/>
            <color indexed="81"/>
            <rFont val="Tahoma"/>
            <family val="2"/>
          </rPr>
          <t>Eduardo Montes, PMP:</t>
        </r>
        <r>
          <rPr>
            <sz val="9"/>
            <color indexed="81"/>
            <rFont val="Tahoma"/>
            <family val="2"/>
          </rPr>
          <t xml:space="preserve">
Explique o ganho financeiro e forma de cálculo</t>
        </r>
      </text>
    </comment>
    <comment ref="C13" authorId="0" shapeId="0" xr:uid="{FD2B9904-C11D-40B7-B790-D0B5750B372B}">
      <text>
        <r>
          <rPr>
            <b/>
            <sz val="9"/>
            <color indexed="81"/>
            <rFont val="Tahoma"/>
            <family val="2"/>
          </rPr>
          <t>Eduardo Montes, PMP:</t>
        </r>
        <r>
          <rPr>
            <sz val="9"/>
            <color indexed="81"/>
            <rFont val="Tahoma"/>
            <family val="2"/>
          </rPr>
          <t xml:space="preserve">
Explique o ganho financeiro e forma de cálculo</t>
        </r>
      </text>
    </comment>
    <comment ref="C15" authorId="0" shapeId="0" xr:uid="{5C8AAE85-00D3-4368-BEF5-1072412C0126}">
      <text>
        <r>
          <rPr>
            <b/>
            <sz val="9"/>
            <color indexed="81"/>
            <rFont val="Tahoma"/>
            <family val="2"/>
          </rPr>
          <t>Eduardo Montes, PMP:</t>
        </r>
        <r>
          <rPr>
            <sz val="9"/>
            <color indexed="81"/>
            <rFont val="Tahoma"/>
            <family val="2"/>
          </rPr>
          <t xml:space="preserve">
Explique o ganho financeiro e forma de cálculo</t>
        </r>
      </text>
    </comment>
    <comment ref="C17" authorId="0" shapeId="0" xr:uid="{B8DC27F6-0176-403A-8868-5DA85EE53426}">
      <text>
        <r>
          <rPr>
            <b/>
            <sz val="9"/>
            <color indexed="81"/>
            <rFont val="Tahoma"/>
            <family val="2"/>
          </rPr>
          <t>Eduardo Montes, PMP:</t>
        </r>
        <r>
          <rPr>
            <sz val="9"/>
            <color indexed="81"/>
            <rFont val="Tahoma"/>
            <family val="2"/>
          </rPr>
          <t xml:space="preserve">
Explique o ganho financeiro e forma de cálculo</t>
        </r>
      </text>
    </comment>
    <comment ref="C19" authorId="0" shapeId="0" xr:uid="{52273597-8917-45A1-94A9-FD9834302AE0}">
      <text>
        <r>
          <rPr>
            <b/>
            <sz val="9"/>
            <color indexed="81"/>
            <rFont val="Tahoma"/>
            <family val="2"/>
          </rPr>
          <t>Eduardo Montes, PMP:</t>
        </r>
        <r>
          <rPr>
            <sz val="9"/>
            <color indexed="81"/>
            <rFont val="Tahoma"/>
            <family val="2"/>
          </rPr>
          <t xml:space="preserve">
Explique o ganho financeiro e forma de cálculo</t>
        </r>
      </text>
    </comment>
    <comment ref="C21" authorId="0" shapeId="0" xr:uid="{B3971EAA-C1B6-4D17-8961-FFA46AEE3689}">
      <text>
        <r>
          <rPr>
            <b/>
            <sz val="9"/>
            <color indexed="81"/>
            <rFont val="Tahoma"/>
            <family val="2"/>
          </rPr>
          <t>Eduardo Montes, PMP:</t>
        </r>
        <r>
          <rPr>
            <sz val="9"/>
            <color indexed="81"/>
            <rFont val="Tahoma"/>
            <family val="2"/>
          </rPr>
          <t xml:space="preserve">
Explique o ganho financeiro e forma de cálculo</t>
        </r>
      </text>
    </comment>
    <comment ref="C23" authorId="0" shapeId="0" xr:uid="{E90641EC-BE88-47F8-8341-A1FDF7F26791}">
      <text>
        <r>
          <rPr>
            <b/>
            <sz val="9"/>
            <color indexed="81"/>
            <rFont val="Tahoma"/>
            <family val="2"/>
          </rPr>
          <t>Eduardo Montes, PMP:</t>
        </r>
        <r>
          <rPr>
            <sz val="9"/>
            <color indexed="81"/>
            <rFont val="Tahoma"/>
            <family val="2"/>
          </rPr>
          <t xml:space="preserve">
Explique o ganho financeiro e forma de cálculo</t>
        </r>
      </text>
    </comment>
    <comment ref="C25" authorId="0" shapeId="0" xr:uid="{FCA6C5EF-28F0-483E-BFC3-7D777A59DC5E}">
      <text>
        <r>
          <rPr>
            <b/>
            <sz val="9"/>
            <color indexed="81"/>
            <rFont val="Tahoma"/>
            <family val="2"/>
          </rPr>
          <t>Eduardo Montes, PMP:</t>
        </r>
        <r>
          <rPr>
            <sz val="9"/>
            <color indexed="81"/>
            <rFont val="Tahoma"/>
            <family val="2"/>
          </rPr>
          <t xml:space="preserve">
Explique o ganho financeiro e forma de cálculo</t>
        </r>
      </text>
    </comment>
    <comment ref="C27" authorId="0" shapeId="0" xr:uid="{F5ACE7D0-1296-413A-8BAD-DD5C62016B80}">
      <text>
        <r>
          <rPr>
            <b/>
            <sz val="9"/>
            <color indexed="81"/>
            <rFont val="Tahoma"/>
            <family val="2"/>
          </rPr>
          <t>Eduardo Montes, PMP:</t>
        </r>
        <r>
          <rPr>
            <sz val="9"/>
            <color indexed="81"/>
            <rFont val="Tahoma"/>
            <family val="2"/>
          </rPr>
          <t xml:space="preserve">
Explique o ganho financeiro e forma de cálculo</t>
        </r>
      </text>
    </comment>
    <comment ref="C29" authorId="0" shapeId="0" xr:uid="{D126E8C4-B811-4B79-9066-B215986FC4D5}">
      <text>
        <r>
          <rPr>
            <b/>
            <sz val="9"/>
            <color indexed="81"/>
            <rFont val="Tahoma"/>
            <family val="2"/>
          </rPr>
          <t>Eduardo Montes, PMP:</t>
        </r>
        <r>
          <rPr>
            <sz val="9"/>
            <color indexed="81"/>
            <rFont val="Tahoma"/>
            <family val="2"/>
          </rPr>
          <t xml:space="preserve">
Explique o ganho financeiro e forma de cálculo</t>
        </r>
      </text>
    </comment>
  </commentList>
</comments>
</file>

<file path=xl/sharedStrings.xml><?xml version="1.0" encoding="utf-8"?>
<sst xmlns="http://schemas.openxmlformats.org/spreadsheetml/2006/main" count="2089" uniqueCount="986">
  <si>
    <t>Ref</t>
  </si>
  <si>
    <t>Etapas – Atividades - Marcos</t>
  </si>
  <si>
    <t>Dependência</t>
  </si>
  <si>
    <t>Conclusão</t>
  </si>
  <si>
    <t>Responsável</t>
  </si>
  <si>
    <t xml:space="preserve">Recursos                                    </t>
  </si>
  <si>
    <t>Obs</t>
  </si>
  <si>
    <t>2.1</t>
  </si>
  <si>
    <t>2.2</t>
  </si>
  <si>
    <t>2.3</t>
  </si>
  <si>
    <t>4.1</t>
  </si>
  <si>
    <t>1.1</t>
  </si>
  <si>
    <t>Plano do Projeto</t>
  </si>
  <si>
    <t>-</t>
  </si>
  <si>
    <t>1.2</t>
  </si>
  <si>
    <t>1.3</t>
  </si>
  <si>
    <t>3.1</t>
  </si>
  <si>
    <t>3.2</t>
  </si>
  <si>
    <t>5.1</t>
  </si>
  <si>
    <t>5.2</t>
  </si>
  <si>
    <t>5.3</t>
  </si>
  <si>
    <t>Controle</t>
  </si>
  <si>
    <t>Fechamento</t>
  </si>
  <si>
    <t>Contratar empresa para informatização da academia</t>
  </si>
  <si>
    <t>Adquirir Sistemas de Segurança</t>
  </si>
  <si>
    <t>Fechar Convênio com Estacionamento próximo ao local</t>
  </si>
  <si>
    <t>Adequar o Espaço Físico</t>
  </si>
  <si>
    <t>Contratar Mão de Obra</t>
  </si>
  <si>
    <t>5.4</t>
  </si>
  <si>
    <t>Contratação de Designer de Interiores</t>
  </si>
  <si>
    <t>Custos</t>
  </si>
  <si>
    <t>Equipamentos de Ginástica</t>
  </si>
  <si>
    <t>Equipamentos de Apoio e Administração</t>
  </si>
  <si>
    <t>4.2</t>
  </si>
  <si>
    <t>TOTAL</t>
  </si>
  <si>
    <t>5.2. CRONOGRAMA DE CUSTOS</t>
  </si>
  <si>
    <t>Agosto</t>
  </si>
  <si>
    <t>Setembro</t>
  </si>
  <si>
    <t>Outubro</t>
  </si>
  <si>
    <t>Novembro</t>
  </si>
  <si>
    <t>Dezembro</t>
  </si>
  <si>
    <t>Janeiro</t>
  </si>
  <si>
    <t>2.2.1</t>
  </si>
  <si>
    <t>2.2.2</t>
  </si>
  <si>
    <t xml:space="preserve"> </t>
  </si>
  <si>
    <t>4.2.1</t>
  </si>
  <si>
    <t>1ª</t>
  </si>
  <si>
    <t>Pessoas</t>
  </si>
  <si>
    <t>4.1 Plano de ação detalhado da WBS (com dependência, tempo e recurso)</t>
  </si>
  <si>
    <t>4.2 Plano de ação detalhado da WBS (com dependência, tempo e recurso)</t>
  </si>
  <si>
    <t xml:space="preserve">Etapas – Atividades - </t>
  </si>
  <si>
    <t>Formar uma equipe de desenvolvimento e design</t>
  </si>
  <si>
    <t>Definir os objetivos do aplicativo e sua proposta de valor</t>
  </si>
  <si>
    <t>Identificar as principais funcionalidades e recursos a serem incluídos</t>
  </si>
  <si>
    <t>Iniciação</t>
  </si>
  <si>
    <t>GERENTE DE PROJETO</t>
  </si>
  <si>
    <t>Planejamento</t>
  </si>
  <si>
    <t>Realizar uma análise de mercado para entender concorrentes e demandas</t>
  </si>
  <si>
    <t>Dicas de saúde e bem-estar</t>
  </si>
  <si>
    <t>Planos de exercícios físicos personalizados</t>
  </si>
  <si>
    <t>Mapas com locais de academias e parques</t>
  </si>
  <si>
    <t>Integração com sistemas de monitoramento de saúde</t>
  </si>
  <si>
    <t>Criar um cronograma detalhado com marcos e prazos</t>
  </si>
  <si>
    <t>Design e Prototipagem</t>
  </si>
  <si>
    <t>2.2.3</t>
  </si>
  <si>
    <t>2.2.4</t>
  </si>
  <si>
    <t>DESIGN</t>
  </si>
  <si>
    <t>Interface limpa e intuitiva</t>
  </si>
  <si>
    <t>Navegação simples entre as funcionalidades</t>
  </si>
  <si>
    <t>Criar protótipos interativos para validar o fluxo de usuário</t>
  </si>
  <si>
    <t>3.1.2</t>
  </si>
  <si>
    <t>Desenvolvimento</t>
  </si>
  <si>
    <t>Desenvolver a estrutura do aplicativo</t>
  </si>
  <si>
    <t>DESENVOLVIMENTO</t>
  </si>
  <si>
    <t>Front-end: Interface do usuário e interações</t>
  </si>
  <si>
    <t>4.1.2</t>
  </si>
  <si>
    <t>Implementar as funcionalidades principais</t>
  </si>
  <si>
    <t>4.2.2</t>
  </si>
  <si>
    <t>4.2.3</t>
  </si>
  <si>
    <t>Módulo de dicas de saúde</t>
  </si>
  <si>
    <t>Gerador de planos de exercícios</t>
  </si>
  <si>
    <t>Integração com APIs de mapas para localização de academias e parques</t>
  </si>
  <si>
    <t>Integrar o aplicativo com sistemas de monitoramento de saúde, como dispositivos wearable ou aplicativos de rastreamento</t>
  </si>
  <si>
    <t>Garantir a segurança e privacidade dos dados do usuário</t>
  </si>
  <si>
    <t>Testar a integração para assegurar que os dados são sincronizados corretamente</t>
  </si>
  <si>
    <t>Testes</t>
  </si>
  <si>
    <t>Realizar testes de qualidade e desempenho em diversas plataformas (iOS, Android)</t>
  </si>
  <si>
    <t>Testar a usabilidade do aplicativo com usuários reais</t>
  </si>
  <si>
    <t>Identificar e corrigir bugs e problemas de interface</t>
  </si>
  <si>
    <t>6.1</t>
  </si>
  <si>
    <t>6.1.2</t>
  </si>
  <si>
    <t>6.1.3</t>
  </si>
  <si>
    <t>Lançamento</t>
  </si>
  <si>
    <t>Preparar a infraestrutura para o lançamento nas lojas de aplicativos (App Store, Google Play)</t>
  </si>
  <si>
    <t>Criar materiais de marketing, como vídeos promocionais e descrições claras</t>
  </si>
  <si>
    <t>Submeter o aplicativo para revisão nas lojas de aplicativos</t>
  </si>
  <si>
    <t>7.1.1</t>
  </si>
  <si>
    <t>7.1.2</t>
  </si>
  <si>
    <t>.</t>
  </si>
  <si>
    <t>7.1.3</t>
  </si>
  <si>
    <t>Pós-lançamento</t>
  </si>
  <si>
    <t>Monitorar o feedback dos usuários e analisar métricas de uso</t>
  </si>
  <si>
    <t>Realizar atualizações periódicas para adicionar novas funcionalidades e melhorias</t>
  </si>
  <si>
    <t>Oferecer suporte ao cliente para solucionar problemas e responder dúvidas</t>
  </si>
  <si>
    <t>8.1.1</t>
  </si>
  <si>
    <t>8.1.2</t>
  </si>
  <si>
    <t>8.1.3</t>
  </si>
  <si>
    <t>Marketing e Divulgação</t>
  </si>
  <si>
    <t>Criar estratégias de marketing digital para aumentar a visibilidade do aplicativo</t>
  </si>
  <si>
    <t>Colaborar com influenciadores de saúde e bem-estar para promoção</t>
  </si>
  <si>
    <t>Realizar campanhas de mídia social e anúncios online</t>
  </si>
  <si>
    <t>9.1.1</t>
  </si>
  <si>
    <t>9.1.2</t>
  </si>
  <si>
    <t>9.1.3</t>
  </si>
  <si>
    <t>Avaliação e Aperfeiçoamento</t>
  </si>
  <si>
    <t>Realizar análises regulares sobre o desempenho do aplicativo</t>
  </si>
  <si>
    <t>Explorar parcerias com empresas relacionadas à saúde e bem-estar</t>
  </si>
  <si>
    <t>10.1.1</t>
  </si>
  <si>
    <t>10.1.2</t>
  </si>
  <si>
    <t>10.1.3</t>
  </si>
  <si>
    <t>Avaliar a possibilidade de oferecer versões premium ou modelos de assinatura</t>
  </si>
  <si>
    <t>SEGURANÇA</t>
  </si>
  <si>
    <t>QUALIDADE</t>
  </si>
  <si>
    <t>UX</t>
  </si>
  <si>
    <t>REDES</t>
  </si>
  <si>
    <t>COMERCIAL</t>
  </si>
  <si>
    <t>DESEMPENHO</t>
  </si>
  <si>
    <t>EQUIPE TÉCNICA</t>
  </si>
  <si>
    <t>Definir os requisitos detalhados do aplicativo (escopo)</t>
  </si>
  <si>
    <t>3.1.1</t>
  </si>
  <si>
    <t>3.2.1</t>
  </si>
  <si>
    <t>Realizar o design da interface do usuário (UI)</t>
  </si>
  <si>
    <t xml:space="preserve"> Experiência do usuário (UX)</t>
  </si>
  <si>
    <t>Total</t>
  </si>
  <si>
    <t>(vazio)</t>
  </si>
  <si>
    <t>Total Geral</t>
  </si>
  <si>
    <t>Soma de Custos</t>
  </si>
  <si>
    <t>Teste de UI / UX</t>
  </si>
  <si>
    <t>3.2.2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</si>
  <si>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</si>
  <si>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</si>
  <si>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</si>
  <si>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</si>
  <si>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</si>
  <si>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</si>
  <si>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</si>
  <si>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</si>
  <si>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</si>
  <si>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</si>
  <si>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</si>
  <si>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</si>
  <si>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</si>
  <si>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</si>
  <si>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</si>
  <si>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</si>
  <si>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</si>
  <si>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</si>
  <si>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</si>
  <si>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</si>
  <si>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</si>
  <si>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</si>
  <si>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</si>
  <si>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</si>
  <si>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</si>
  <si>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</si>
  <si>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</si>
  <si>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</si>
  <si>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</si>
  <si>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</si>
  <si>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Líder do projeto:
Gerente de Projeto</t>
  </si>
  <si>
    <t>2.2.5</t>
  </si>
  <si>
    <t>4.1.3</t>
  </si>
  <si>
    <t>Expansão</t>
  </si>
  <si>
    <t>11.1</t>
  </si>
  <si>
    <t>11.1.2</t>
  </si>
  <si>
    <t>11.1.3</t>
  </si>
  <si>
    <t>2ª</t>
  </si>
  <si>
    <t>Saúde e bem-estar na palma da sua mão</t>
  </si>
  <si>
    <t>NÃO</t>
  </si>
  <si>
    <t>Atividades</t>
  </si>
  <si>
    <t>Pós-lançamento (Stakeholders internos)</t>
  </si>
  <si>
    <t>Lançamento (Stakeholders internos)</t>
  </si>
  <si>
    <t>Rede de Precedência de Atividades</t>
  </si>
  <si>
    <t xml:space="preserve">Marketing e Divulgação - para o Mercado </t>
  </si>
  <si>
    <t>Data Início</t>
  </si>
  <si>
    <t>Data Fim</t>
  </si>
  <si>
    <t>Entregas do Projeto</t>
  </si>
  <si>
    <t xml:space="preserve">A definir </t>
  </si>
  <si>
    <t>Atulizado Em</t>
  </si>
  <si>
    <t>SAM</t>
  </si>
  <si>
    <t>SRM</t>
  </si>
  <si>
    <t>Stakeholder</t>
  </si>
  <si>
    <t>Objetivos</t>
  </si>
  <si>
    <t>Metas</t>
  </si>
  <si>
    <t xml:space="preserve">Motivações e Interesses </t>
  </si>
  <si>
    <t>Poder e influência</t>
  </si>
  <si>
    <t>Importância e
Impacto</t>
  </si>
  <si>
    <t>Papéis &amp; Responsabilidades</t>
  </si>
  <si>
    <t>Sintonia "fina"</t>
  </si>
  <si>
    <t>Área de Interesse</t>
  </si>
  <si>
    <t>Nível de Detalhe</t>
  </si>
  <si>
    <t>Formato</t>
  </si>
  <si>
    <t>Frequência</t>
  </si>
  <si>
    <t>Mecanismo de Entrega</t>
  </si>
  <si>
    <t>Cliente (Usuários Finais)</t>
  </si>
  <si>
    <t>Acessar KPIs personalizados e gráficos interativos.</t>
  </si>
  <si>
    <t>Melhorar a tomada de decisão individual com base nos dados da plataforma.</t>
  </si>
  <si>
    <t>Obter informações relevantes de forma rápida e visual.</t>
  </si>
  <si>
    <t>Influência moderada via uso e feedback, mas sem poder de decisão.</t>
  </si>
  <si>
    <t>Alto impacto na aceitação do sistema.</t>
  </si>
  <si>
    <t>Utilizar o dashboard conforme seu perfil (cliente), fornecer feedback.</t>
  </si>
  <si>
    <t>Feedback contínuo e coleta de sugestões</t>
  </si>
  <si>
    <t>Funcionalidades, performance e usabilidade do sistema</t>
  </si>
  <si>
    <t>Médio – informações claras e objetivas.</t>
  </si>
  <si>
    <t>Visual e Interativo</t>
  </si>
  <si>
    <t>Mensal ou por entregas de versões</t>
  </si>
  <si>
    <t>Email + Sessões de demonstração</t>
  </si>
  <si>
    <t>Product Owner</t>
  </si>
  <si>
    <t>Garantir que o produto final atenda às necessidades do negócio.</t>
  </si>
  <si>
    <t>Entrega funcional e validada do sistema dentro do escopo.</t>
  </si>
  <si>
    <t>Alinhar entregas com os objetivos estratégicos da empresa/plataforma.</t>
  </si>
  <si>
    <t>Determina a direção e as prioridades do Alto poder sobre decisões de escopo e prioridades..</t>
  </si>
  <si>
    <t>Altíssimo – garante alinhamento entre produto e negócio.</t>
  </si>
  <si>
    <t>Priorização de funcionalidades, definição de requisitos.</t>
  </si>
  <si>
    <t>Comunicação diária com a equipe</t>
  </si>
  <si>
    <t>Produto e backlog</t>
  </si>
  <si>
    <t>Alto – precisa de visão técnica e estratégica.</t>
  </si>
  <si>
    <t>Relatórios e dashboards</t>
  </si>
  <si>
    <t>Semanal</t>
  </si>
  <si>
    <t>Reuniões + Trello/Jira</t>
  </si>
  <si>
    <t>Desenvolvedores</t>
  </si>
  <si>
    <t>Construir o sistema com qualidade técnica e dentro do prazo.</t>
  </si>
  <si>
    <t>Implementar os módulos com eficiência e segurança.</t>
  </si>
  <si>
    <t>Entregar um sistema funcional, escalável e bem documentado.</t>
  </si>
  <si>
    <t>Poder técnico elevado na implementação do sistema.</t>
  </si>
  <si>
    <t>Impacto direto na qualidade e entrega do projeto.</t>
  </si>
  <si>
    <t>Codificar, integrar, testar e corrigir o sistema.</t>
  </si>
  <si>
    <t>Alinhamento com PO e UX</t>
  </si>
  <si>
    <t>Lógica do sistema e integração</t>
  </si>
  <si>
    <t>Alto – requerem detalhes técnicos completos.</t>
  </si>
  <si>
    <t>Documentação técnica</t>
  </si>
  <si>
    <t>Diária</t>
  </si>
  <si>
    <t>Reuniões de stand-up + GitHub</t>
  </si>
  <si>
    <t>Time Comercial</t>
  </si>
  <si>
    <t>Obter dados estratégicos para apoiar vendas e relacionamento.</t>
  </si>
  <si>
    <t>Usar o dashboard para análise de resultados de campanhas.</t>
  </si>
  <si>
    <t>Melhorar performance de vendas e retenção.</t>
  </si>
  <si>
    <t>Influência média em requisitos voltados a vendas.</t>
  </si>
  <si>
    <t>Importante para direcionar funcionalidades úteis ao negócio.</t>
  </si>
  <si>
    <t>Usar dados para planejar ações comerciais.</t>
  </si>
  <si>
    <t>Acesso a KPIs e relatórios</t>
  </si>
  <si>
    <t>Métricas de conversão, canais e clientes</t>
  </si>
  <si>
    <t>Médio – foco em métricas e relatórios.</t>
  </si>
  <si>
    <t>Mensal</t>
  </si>
  <si>
    <t>PDF ou Excel via e-mail</t>
  </si>
  <si>
    <t>Marketing</t>
  </si>
  <si>
    <t>Planejar campanhas mais eficientes com base em dados.</t>
  </si>
  <si>
    <t>Aumentar engajamento com base nos insights da plataforma.</t>
  </si>
  <si>
    <t>Usar visualizações e alertas inteligentes para campanhas.</t>
  </si>
  <si>
    <t>Influência moderada com foco em engajamento.</t>
  </si>
  <si>
    <t>Relevante para campanhas e estratégias de retenção.</t>
  </si>
  <si>
    <t>Definir critérios de segmentação, interpretar dados de comportamento.</t>
  </si>
  <si>
    <t>Alinhamento com Product Owner</t>
  </si>
  <si>
    <t>Engajamento, canais e comportamento de uso</t>
  </si>
  <si>
    <t>Médio – dados analíticos e insights visuais.</t>
  </si>
  <si>
    <t>Dashboards e KPIs</t>
  </si>
  <si>
    <t>Quinzenal</t>
  </si>
  <si>
    <t>Plataforma + relatórios por e-mail</t>
  </si>
  <si>
    <t>UX (User Experience)</t>
  </si>
  <si>
    <t>Garantir que o sistema seja intuitivo e responsivo.</t>
  </si>
  <si>
    <t>Reduzir fricções na jornada do usuário.</t>
  </si>
  <si>
    <t>Oferecer uma boa experiência para retenção e satisfação.</t>
  </si>
  <si>
    <t>Poder sobre decisões de usabilidade.</t>
  </si>
  <si>
    <t>Impacto alto na experiência e aceitação do sistema.</t>
  </si>
  <si>
    <t>Criar protótipos, testes de usabilidade, validar interfaces.</t>
  </si>
  <si>
    <t>Iterações constantes com dev e PO</t>
  </si>
  <si>
    <t>Navegação, responsividade e acessibilidade</t>
  </si>
  <si>
    <t>Alto – detalhes sobre fluxo e comportamento do usuário.</t>
  </si>
  <si>
    <t>Protótipos e relatórios de testes</t>
  </si>
  <si>
    <t>A cada sprint</t>
  </si>
  <si>
    <t>Figma + reuniões de revisão</t>
  </si>
  <si>
    <t>Equipe de Suporte ao Cliente</t>
  </si>
  <si>
    <t>Ajudar clientes a utilizarem o dashboard corretamente.</t>
  </si>
  <si>
    <t>Reduzir número de chamados e dúvidas.</t>
  </si>
  <si>
    <t>Garantir que os usuários entendam as funcionalidades.</t>
  </si>
  <si>
    <t>Influência baixa, mas relevante para melhorias contínuas.</t>
  </si>
  <si>
    <t>Importância média na experiência pós-entrega.</t>
  </si>
  <si>
    <t>Responder dúvidas, criar materiais de ajuda.</t>
  </si>
  <si>
    <t>Alinhamento com UX e PO</t>
  </si>
  <si>
    <t>Funcionalidades e dúvidas frequentes</t>
  </si>
  <si>
    <t>Médio – foco em funcionamento prático e dúvidas.</t>
  </si>
  <si>
    <t>Tutoriais e FAQs</t>
  </si>
  <si>
    <t>Contínuo</t>
  </si>
  <si>
    <t>Central de ajuda + e-mail</t>
  </si>
  <si>
    <t>Gerência Executiva/Alta Administração</t>
  </si>
  <si>
    <t>Avaliar resultados estratégicos e ROI da plataforma.</t>
  </si>
  <si>
    <t>Acompanhar KPIs-chave e justificar investimentos.</t>
  </si>
  <si>
    <t>Ter visão consolidada e estratégica da operação.</t>
  </si>
  <si>
    <t>Alto poder de decisão estratégica e orçamentária.</t>
  </si>
  <si>
    <t>Crítico – define o futuro do projeto.</t>
  </si>
  <si>
    <t>Tomar decisões com base em dados, aprovar escopo e recursos.</t>
  </si>
  <si>
    <t>Apresentações formais e relatórios executivos</t>
  </si>
  <si>
    <t>Estratégia e retorno sobre investimento</t>
  </si>
  <si>
    <t>Baixo – visão executiva e resultados consolidados.</t>
  </si>
  <si>
    <t>Relatórios executivos e gráficos resumidos</t>
  </si>
  <si>
    <t>PDF + reuniões de apresentação</t>
  </si>
  <si>
    <t xml:space="preserve">Definir os objetivos do dashboard e sua proposta de valor para análise de campanhas, clientes e pedidos Cannoli+FECAP	</t>
  </si>
  <si>
    <t xml:space="preserve">Identificar as principais funcionalidades e recursos a serem incluídos no dashboard (análises de campanhas, clientes, pedidos)	</t>
  </si>
  <si>
    <t xml:space="preserve">Formar uma equipe de desenvolvimento e design para o projeto do dashboard	</t>
  </si>
  <si>
    <t>Análise de mercado (concorrentes e demandas)</t>
  </si>
  <si>
    <t>Definir requisitos detalhados (escopo)</t>
  </si>
  <si>
    <t>Requisitos – Análise de Campanhas (winback, loyalty, etc.)</t>
  </si>
  <si>
    <t>Requisitos – Análise de Clientes (perfil, status, etc.)</t>
  </si>
  <si>
    <t>Requisitos – Pedidos (delivery, indoor, takeout)</t>
  </si>
  <si>
    <t>Requisitos – Integração com fontes (Campaign, Customer, Order)</t>
  </si>
  <si>
    <t>Criar cronograma detalhado com marcos e prazos</t>
  </si>
  <si>
    <t>Design da interface (UI)</t>
  </si>
  <si>
    <t>Definir navegação simples e intuitiva</t>
  </si>
  <si>
    <t>Criar protótipos interativos</t>
  </si>
  <si>
    <t>Design da experiência (UX)</t>
  </si>
  <si>
    <t>Propor interface limpa e intuitiva</t>
  </si>
  <si>
    <t>Teste de UI/UX com usuários</t>
  </si>
  <si>
    <t>Desenvolver estrutura do dashboard</t>
  </si>
  <si>
    <t>Desenvolvimento Front-end (UI e interações)</t>
  </si>
  <si>
    <t>Codificação Back-end (processamento e dados)</t>
  </si>
  <si>
    <t>Implementar funcionalidades principais</t>
  </si>
  <si>
    <t>Módulo de Campanhas</t>
  </si>
  <si>
    <t>Módulo de Clientes</t>
  </si>
  <si>
    <t>Módulo de Pedidos e Canais de Venda</t>
  </si>
  <si>
    <t>Integrar CampaignQueue, Campaign, Customer, Order</t>
  </si>
  <si>
    <t>Garantir segurança e privacidade dos dados</t>
  </si>
  <si>
    <t>Testar sincronização correta dos dados</t>
  </si>
  <si>
    <t>Testes de qualidade e desempenho</t>
  </si>
  <si>
    <t>Teste de usabilidade com usuários</t>
  </si>
  <si>
    <t>Correção de bugs e problemas de interface</t>
  </si>
  <si>
    <t>Preparar infraestrutura de implantação</t>
  </si>
  <si>
    <t>Criar materiais de treinamento e demonstração</t>
  </si>
  <si>
    <t>Implantar em produção (uso interno)</t>
  </si>
  <si>
    <t>Monitorar feedback e métricas de uso</t>
  </si>
  <si>
    <t>Realizar atualizações periódicas</t>
  </si>
  <si>
    <t>Suporte ao usuário (dúvidas e problemas)</t>
  </si>
  <si>
    <t>Estratégias de comunicação para adoção</t>
  </si>
  <si>
    <t>Engajar key users e stakeholders</t>
  </si>
  <si>
    <t>Comunicação interna e externa dos benefícios</t>
  </si>
  <si>
    <t>Análises regulares de desempenho e impacto</t>
  </si>
  <si>
    <t>Coletar feedback e implementar melhorias</t>
  </si>
  <si>
    <t>Adaptação às necessidades de negócio</t>
  </si>
  <si>
    <t>Análise de expansão de funcionalidades/mercados</t>
  </si>
  <si>
    <t>Novas integrações ou parcerias estratégicas</t>
  </si>
  <si>
    <t>Recursos avançados / versão premium</t>
  </si>
  <si>
    <t>Definir os objetivos do dashboard e proposta de valor</t>
  </si>
  <si>
    <t>Identificar funcionalidades principais (campanhas, clientes, pedidos)</t>
  </si>
  <si>
    <t>Formar equipe de desenvolvimento e design</t>
  </si>
  <si>
    <t>Requisitos para Campanhas (winback, loyalty, seasonal etc.)</t>
  </si>
  <si>
    <t>Requisitos para Clientes (perfil, status, enriquecimento)</t>
  </si>
  <si>
    <t>Requisitos para Pedidos (delivery, indoor, takeout)</t>
  </si>
  <si>
    <t>Requisitos de Integração (CampaignQueue, Customer, Order)</t>
  </si>
  <si>
    <t>Criar cronograma detalhado</t>
  </si>
  <si>
    <t>Design da Interface (UI)</t>
  </si>
  <si>
    <t>Estrutura do Dashboard (Front e Back-end)</t>
  </si>
  <si>
    <t>Experiência do usuário (UX)</t>
  </si>
  <si>
    <t>Funcionalidades principais (Campanhas, Clientes, Pedidos)</t>
  </si>
  <si>
    <t>Integração com CampaignQueue, Customer, Order</t>
  </si>
  <si>
    <t>Segurança e privacidade de dados</t>
  </si>
  <si>
    <t>Testar integração de dados</t>
  </si>
  <si>
    <t>6.2</t>
  </si>
  <si>
    <t>Testes de usabilidade (usuários reais/simulados)</t>
  </si>
  <si>
    <t>6.3</t>
  </si>
  <si>
    <t>Correção de bugs e interface</t>
  </si>
  <si>
    <t>7.1</t>
  </si>
  <si>
    <t>Infraestrutura de produção</t>
  </si>
  <si>
    <t>7.2</t>
  </si>
  <si>
    <t>Materiais de treinamento e demonstração</t>
  </si>
  <si>
    <t>8.1</t>
  </si>
  <si>
    <t>Monitorar feedback e métricas</t>
  </si>
  <si>
    <t>8.2</t>
  </si>
  <si>
    <t>Atualizações periódicas</t>
  </si>
  <si>
    <t>9.1</t>
  </si>
  <si>
    <t>Estratégias de comunicação</t>
  </si>
  <si>
    <t>9.2</t>
  </si>
  <si>
    <t>Engajamento com key users e stakeholders externos</t>
  </si>
  <si>
    <t>10.1</t>
  </si>
  <si>
    <t>10.2</t>
  </si>
  <si>
    <t>Feedback e melhorias contínuas</t>
  </si>
  <si>
    <t>10.3</t>
  </si>
  <si>
    <t>Análise de expansão (funcionalidades e mercados)</t>
  </si>
  <si>
    <t>11.2</t>
  </si>
  <si>
    <t>11.3</t>
  </si>
  <si>
    <t>Recursos avançados/premium do dashboard</t>
  </si>
  <si>
    <t>2.0</t>
  </si>
  <si>
    <t>Duração em dias</t>
  </si>
  <si>
    <t>Duração em dias corridos</t>
  </si>
  <si>
    <t>1.0</t>
  </si>
  <si>
    <t>06/09/20255</t>
  </si>
  <si>
    <t>Definir objetivos do dashboard</t>
  </si>
  <si>
    <t>Identificar funcionalidades principais</t>
  </si>
  <si>
    <t>Análise de mercado</t>
  </si>
  <si>
    <t>Requisitos - Campanhas</t>
  </si>
  <si>
    <t>Requisitos - Clientes</t>
  </si>
  <si>
    <t>Requisitos - Pedidos</t>
  </si>
  <si>
    <t>Requisitos - Integração</t>
  </si>
  <si>
    <t>Protótipos e testes de UI/UX</t>
  </si>
  <si>
    <t>Estrutura do dashboard (Front/Back-end)</t>
  </si>
  <si>
    <t>10, 13</t>
  </si>
  <si>
    <t>Implementar funcionalidades (Campanhas/Clientes/Pedidos)</t>
  </si>
  <si>
    <t>Integração com sistemas (CampaignQueue, Customer, Order)</t>
  </si>
  <si>
    <t>Testes de qualidade e usabilidade</t>
  </si>
  <si>
    <t>Correções de bugs e interface</t>
  </si>
  <si>
    <t>Lançamento (infraestrutura + treinamento)</t>
  </si>
  <si>
    <t>Pós-lançamento (monitoramento e suporte)</t>
  </si>
  <si>
    <t>Avaliação, melhorias contínuas e expansão</t>
  </si>
  <si>
    <t>Projeto para construir uma casa</t>
  </si>
  <si>
    <t>Diagrama de seta</t>
  </si>
  <si>
    <t>Atividade fantasma</t>
  </si>
  <si>
    <t>Quantos Dias dura o projeto?</t>
  </si>
  <si>
    <t>Dias</t>
  </si>
  <si>
    <t>PDI -Primeiro dia de início</t>
  </si>
  <si>
    <t>UDI - Último dia de início</t>
  </si>
  <si>
    <t>PDT - Primeito dia de término</t>
  </si>
  <si>
    <t>UDT - Último dia de término</t>
  </si>
  <si>
    <t>FL-Folgas Livres</t>
  </si>
  <si>
    <t>É o caminho crítico</t>
  </si>
  <si>
    <t>FT-Folgas totais</t>
  </si>
  <si>
    <t>modelo</t>
  </si>
  <si>
    <t>atividade</t>
  </si>
  <si>
    <t>duração</t>
  </si>
  <si>
    <t>PDI</t>
  </si>
  <si>
    <t>PDT</t>
  </si>
  <si>
    <t>UDI</t>
  </si>
  <si>
    <t>UDT</t>
  </si>
  <si>
    <t>FL</t>
  </si>
  <si>
    <t>FT</t>
  </si>
  <si>
    <t>4, 5</t>
  </si>
  <si>
    <t>7, 8, 9</t>
  </si>
  <si>
    <t>Quantos dias dura o Projeto? 81</t>
  </si>
  <si>
    <t>Quais as atividades não podem atrasar? 1, 2, 3, 11, 12, 13, 14, 15, 16, 17, 18, 19, 20, 21, 22 --&gt; caminho crítico</t>
  </si>
  <si>
    <t>A atividade 7 e 8 possuem 4 dias de folga</t>
  </si>
  <si>
    <t>A atividade 10 tem 10 dias de folga</t>
  </si>
  <si>
    <t>Ativ. 1</t>
  </si>
  <si>
    <t>Ativ. 2</t>
  </si>
  <si>
    <t>Ativ, 3</t>
  </si>
  <si>
    <t>Ativ. 4</t>
  </si>
  <si>
    <t>Ativ. 5</t>
  </si>
  <si>
    <t>Ativ. 6</t>
  </si>
  <si>
    <t>Ativ. 7</t>
  </si>
  <si>
    <t>Ativ. 8</t>
  </si>
  <si>
    <t>Ativ. 9</t>
  </si>
  <si>
    <t>Ativ. 10</t>
  </si>
  <si>
    <t>Ativ. 11</t>
  </si>
  <si>
    <t>Ativ. 12</t>
  </si>
  <si>
    <t>Ativ. 13</t>
  </si>
  <si>
    <t>Ativ. 14</t>
  </si>
  <si>
    <t>Ativ. 15</t>
  </si>
  <si>
    <t>Ativ. 16</t>
  </si>
  <si>
    <t>Ativ. 17</t>
  </si>
  <si>
    <t>Ativ. 18</t>
  </si>
  <si>
    <t>Ativ. 19</t>
  </si>
  <si>
    <t>Ativ. 20</t>
  </si>
  <si>
    <t>Ativ. 21</t>
  </si>
  <si>
    <t>Ativ. 22</t>
  </si>
  <si>
    <t>Análise de expansão de funcionalidades e mercados, incluindo novas integrações ou parcerias estratégicas e desenvolvimento de recursos avançados/versão premium do dashboard.</t>
  </si>
  <si>
    <t>Taxa de crescimento de investimento de 10% ao mês MOM</t>
  </si>
  <si>
    <t>Taxa de Crescimento de 10%</t>
  </si>
  <si>
    <t>Análises regulares de desempenho e impacto, coleta de feedback e implementação de melhorias contínuas e adaptação às necessidades de negócio.</t>
  </si>
  <si>
    <t>Criação de estratégias de comunicação (interna e externa) para promover a adoção do dashboard e engajamento com key users e stakeholders externos.</t>
  </si>
  <si>
    <t>Monitoramento de feedback e métricas de uso, atualizações periódicas de funcionalidades e suporte ao usuário para solucionar dúvidas e problemas.</t>
  </si>
  <si>
    <t>Preparação da infraestrutura de produção (implantação) e criação de materiais de treinamento e demonstração para stakeholders internos.</t>
  </si>
  <si>
    <t>Verificação das funcionalidades, realização de testes de qualidade, desempenho e usabilidade (com usuários reais/simulados) e correção de bugs e problemas de interface.</t>
  </si>
  <si>
    <t>Teste</t>
  </si>
  <si>
    <t>Foco na segurança e integração da plataforma, com a integração das fontes de dados CampaignQueue, Campaign, Customer e Order.</t>
  </si>
  <si>
    <t>Integração com fontes de dados</t>
  </si>
  <si>
    <t>Desenvolvimento da estrutura do dashboard (Front-end e Back-end) e implementação dos módulos principais (Campanhas, Clientes, Pedidos e Canais de Venda).</t>
  </si>
  <si>
    <t>Todo processo que compete ao desenvolvimento da funcionalidade em sua camada de Wire, Layout, experiência (UX), incluindo Design da Interface (UI), criação de protótipos interativos e testes de UI/UX para o dashboard.</t>
  </si>
  <si>
    <t>Tudo que tange o mapeamento inicial do planejamento, incluindo análise de mercado e definição de requisitos detalhados para Campanhas (winback, loyalty), Clientes (perfil), Pedidos (delivery, indoor, takeout) e Integração com fontes de dados (Campaign, Customer, Order).</t>
  </si>
  <si>
    <t>Gasto referente ao start do projeto, desde a definição dos objetivos do dashboard, identificação de funcionalidades principais (campanhas, clientes, pedidos) e formação de time.</t>
  </si>
  <si>
    <t>Para facilitar o cálculo do gasto baseado em uma taxa de crescimento.</t>
  </si>
  <si>
    <t>Investimento c/ taxa de crescimento</t>
  </si>
  <si>
    <t>Explicação</t>
  </si>
  <si>
    <t>Orçado</t>
  </si>
  <si>
    <t>Investimento Acumulado</t>
  </si>
  <si>
    <t>Investimento inicial Total</t>
  </si>
  <si>
    <t>Patrocinador</t>
  </si>
  <si>
    <t>Nome do Projeto</t>
  </si>
  <si>
    <t>Mês</t>
  </si>
  <si>
    <t>Identificação do Projeto</t>
  </si>
  <si>
    <t>ROI</t>
  </si>
  <si>
    <t xml:space="preserve">Payback </t>
  </si>
  <si>
    <t>NPV/VPL</t>
  </si>
  <si>
    <t>Indicadores Financeiros</t>
  </si>
  <si>
    <t>Investimentos</t>
  </si>
  <si>
    <t>Realizado</t>
  </si>
  <si>
    <t>Investimento Total</t>
  </si>
  <si>
    <t>Variável</t>
  </si>
  <si>
    <t>Tipo de Benefício</t>
  </si>
  <si>
    <t>Contexto</t>
  </si>
  <si>
    <t>Nome do projeto</t>
  </si>
  <si>
    <t>Projeto Fidelize Cannoli</t>
  </si>
  <si>
    <t>Focado em marketing para análise de estratégias. O projeto envolve a utilização de dados relevantes do Cannoli.</t>
  </si>
  <si>
    <t>Escopo</t>
  </si>
  <si>
    <t>Desenvolvimento de um Dashboard Interativo</t>
  </si>
  <si>
    <t>Foco nas funcionalidades principais de Campanhas, Clientes e Pedidos.</t>
  </si>
  <si>
    <t>Investimento (Valor Anonimizado)</t>
  </si>
  <si>
    <t>R$ 831mil por semestre</t>
  </si>
  <si>
    <t>Valor de investimento anonimizado mencionado na documentação do WBS.</t>
  </si>
  <si>
    <t>Restrições (Limites)</t>
  </si>
  <si>
    <t>Tempo limitado de execução, acesso limitado, escopo limitado</t>
  </si>
  <si>
    <t>Restrições explícitas do projeto.</t>
  </si>
  <si>
    <t>Exclusões</t>
  </si>
  <si>
    <t>Garantia de manutenção em produção contínua após o período acadêmico</t>
  </si>
  <si>
    <t>O que está fora do escopo.</t>
  </si>
  <si>
    <t>Tecnologias principais</t>
  </si>
  <si>
    <t>Boas práticas e criptografia no código</t>
  </si>
  <si>
    <t>Referente às tecnologias utilizadas nos resultados.</t>
  </si>
  <si>
    <t>Parametros a serem configurados inicialmente</t>
  </si>
  <si>
    <t>Projeto</t>
  </si>
  <si>
    <t>Fidelize</t>
  </si>
  <si>
    <t>Mês de início</t>
  </si>
  <si>
    <t>Cannoli</t>
  </si>
  <si>
    <t>Informações sobre o projeto</t>
  </si>
  <si>
    <t>Gerente Responsável</t>
  </si>
  <si>
    <t>Marcella Santana</t>
  </si>
  <si>
    <t>Data da avaliação</t>
  </si>
  <si>
    <t>Informações sobre a avaliação de riscos</t>
  </si>
  <si>
    <t>Projeto/Título</t>
  </si>
  <si>
    <t>FIDELIZE</t>
  </si>
  <si>
    <t>Gerente do Projeto</t>
  </si>
  <si>
    <t>Data da Avaliação</t>
  </si>
  <si>
    <t>Histórico da Avaliação de Riscos</t>
  </si>
  <si>
    <t>Avaliação inicial de riscos focada nas fases de Desenvolvimento e Integração de Dados.</t>
  </si>
  <si>
    <t>Comentário</t>
  </si>
  <si>
    <t>Baseado nos requisitos do 4º Semestre de Análise e Desenvolvimento de Sistemas (ADS) e nos dados simulados do Kit Cannoli.</t>
  </si>
  <si>
    <t>Identificação dos Riscos</t>
  </si>
  <si>
    <t>Probabilidade</t>
  </si>
  <si>
    <t>Impacto</t>
  </si>
  <si>
    <t>Muito Baixa - 1</t>
  </si>
  <si>
    <t>Muito Baixo - 1</t>
  </si>
  <si>
    <t>ID</t>
  </si>
  <si>
    <t>Fase ou</t>
  </si>
  <si>
    <t>Declaração do Risco</t>
  </si>
  <si>
    <t>Severidade 
(X,Y)</t>
  </si>
  <si>
    <t>Baixa - 2</t>
  </si>
  <si>
    <t>Muito Baixo - 2</t>
  </si>
  <si>
    <t>Recurso</t>
  </si>
  <si>
    <t>Classificação</t>
  </si>
  <si>
    <r>
      <t xml:space="preserve">CAUSA 
</t>
    </r>
    <r>
      <rPr>
        <sz val="8"/>
        <color indexed="8"/>
        <rFont val="Arial"/>
        <family val="2"/>
      </rPr>
      <t>(Começa a frase com "Como Resultado ...")</t>
    </r>
  </si>
  <si>
    <r>
      <t xml:space="preserve">RISCO 
</t>
    </r>
    <r>
      <rPr>
        <sz val="8"/>
        <rFont val="Arial"/>
        <family val="2"/>
      </rPr>
      <t>(Começar a frase com "Pode ocorrer ...")</t>
    </r>
  </si>
  <si>
    <r>
      <t xml:space="preserve">CONSEQUÊNCIA </t>
    </r>
    <r>
      <rPr>
        <sz val="8"/>
        <rFont val="Arial"/>
        <family val="2"/>
      </rPr>
      <t>(Começar a frase com "O que acarretaria ...")</t>
    </r>
  </si>
  <si>
    <t>Riscos Colaterais</t>
  </si>
  <si>
    <t>Moderada - 3</t>
  </si>
  <si>
    <t>Baixo - 3</t>
  </si>
  <si>
    <t>R01</t>
  </si>
  <si>
    <t>Dados/Integração</t>
  </si>
  <si>
    <t>Dados Insuficientes</t>
  </si>
  <si>
    <t>Qualidade insatisfatória ou a presença de lacunas/inconsistências na base de dados fictícia do Kit Cannoli.</t>
  </si>
  <si>
    <t>Comprometimento da acurácia dos modelos de IA/ML (Alertas e Previsões).</t>
  </si>
  <si>
    <t>Falha na entrega de insights confiáveis, resultando em apoio estratégico inadequado para a Cannoli.</t>
  </si>
  <si>
    <t>Atraso no projeto e aumento nos custos</t>
  </si>
  <si>
    <t>Alta - 4</t>
  </si>
  <si>
    <t>Baixo - 4</t>
  </si>
  <si>
    <t>R02</t>
  </si>
  <si>
    <t>Desenvolvimento (ML Supervisionado)</t>
  </si>
  <si>
    <t>Inacurácia de IA</t>
  </si>
  <si>
    <t>Uso de um modelo simplificado (como Regressão Linear) ou entrada de variáveis defasadas para a funcionalidade de Previsão de Desempenho.</t>
  </si>
  <si>
    <t>O modelo de previsão apresentará um erro médio (MAE/RMSE) inaceitável, falhando em estimar valores futuros.</t>
  </si>
  <si>
    <t>A previsão será inadequada para apoiar decisões, exigindo o retrabalho do módulo ou sua exclusão do produto final.</t>
  </si>
  <si>
    <t>Atraso no projeto e desconfiança do cliente sobre resultados</t>
  </si>
  <si>
    <t>R03</t>
  </si>
  <si>
    <t>Segurança/Integração</t>
  </si>
  <si>
    <t>Vulnerabilidade</t>
  </si>
  <si>
    <t>Falha ao implementar controles robustos de segurança e privacidade dos dados.</t>
  </si>
  <si>
    <t>Ocorrência de vazamento ou violação de dados de Customer, Order ou Campaign.</t>
  </si>
  <si>
    <t>Violação de requisitos não funcionais de segurança, acarretando perda de confiança ou exposição de dados anonimizados.</t>
  </si>
  <si>
    <t>Constante necessidade em reforçar a segurança dos dados</t>
  </si>
  <si>
    <t>R04</t>
  </si>
  <si>
    <t>Escopo/Cronograma</t>
  </si>
  <si>
    <t>Limitações Estruturais</t>
  </si>
  <si>
    <t>Atrasos na entrega de módulos chave, como o Módulo de Pedidos e Canais de Venda, que possuem um prazo específico (23/08/2025 a 02/09/2025).</t>
  </si>
  <si>
    <t>O projeto excede as datas de entrega (22/set, 10/nov, 17/11, 25/11).</t>
  </si>
  <si>
    <t>O Sistema Final não estará pronto para as apresentações/entregáveis.</t>
  </si>
  <si>
    <t>Inacessibilidade do sistema como um todo</t>
  </si>
  <si>
    <t>Quantificação dos Riscos</t>
  </si>
  <si>
    <t xml:space="preserve">Impacto no Custo 
</t>
  </si>
  <si>
    <t xml:space="preserve">Impacto no Cronograma 
</t>
  </si>
  <si>
    <t>Observação</t>
  </si>
  <si>
    <t>Plano de Prevenção</t>
  </si>
  <si>
    <t>Plano de Contingência</t>
  </si>
  <si>
    <r>
      <t xml:space="preserve">CONSEQÜÊNCIA </t>
    </r>
    <r>
      <rPr>
        <sz val="8"/>
        <rFont val="Arial"/>
        <family val="2"/>
      </rPr>
      <t>(Começar a frase com "O que acarretaria ...")</t>
    </r>
  </si>
  <si>
    <t>Dias de atraso na implantação</t>
  </si>
  <si>
    <t>Implementar uma rotina de validação e limpeza de dados antes do treinamento dos modelos (verificação de duplicatas, nulos, outliers).</t>
  </si>
  <si>
    <t>Documentar as limitações dos dados no relatório final e ajustar o escopo das previsões.</t>
  </si>
  <si>
    <t>Criar pipeline de atualização de variáveis (verificação de defasagem semanal ou mensal).</t>
  </si>
  <si>
    <t>Se o modelo não atingir desempenho mínimo, trocar para modelo alternativo.</t>
  </si>
  <si>
    <t>1 mês de atraso</t>
  </si>
  <si>
    <t>Fazer testes de vulnerabilidade e revisões de segurança antes da implantação.</t>
  </si>
  <si>
    <t>Em caso de violação, acionar imediatamente o plano de resposta a incidentes e isolar o ambiente afetado.</t>
  </si>
  <si>
    <t>5~10</t>
  </si>
  <si>
    <t>Realizar testes de integração contínua para reduzir retrabalho ao juntar os módulos.</t>
  </si>
  <si>
    <t>Caso o atraso seja inevitável, negociar nova data de apresentação parcial com o patrocinador.</t>
  </si>
  <si>
    <t xml:space="preserve">                      Qualificação dos Riscos</t>
  </si>
  <si>
    <t>Base Custo</t>
  </si>
  <si>
    <t>R$</t>
  </si>
  <si>
    <t>Base Prazo</t>
  </si>
  <si>
    <t>dias úteis</t>
  </si>
  <si>
    <t>Probabilidade do risco virar incidente 
(Y)</t>
  </si>
  <si>
    <t>Avaliação de Impacto 
(X)</t>
  </si>
  <si>
    <t>Severidade 
(Y,X)</t>
  </si>
  <si>
    <t>Custo</t>
  </si>
  <si>
    <t>Prazo</t>
  </si>
  <si>
    <t>Aumento no Custo (X1)</t>
  </si>
  <si>
    <t>Desvio no Cronograma  
(X2)</t>
  </si>
  <si>
    <t>(X1*X2)</t>
  </si>
  <si>
    <t>Resultado do Impacto 
(X1+X2)</t>
  </si>
  <si>
    <t>Alta - 0,4</t>
  </si>
  <si>
    <t>Entre 10% e 20% - 1,40</t>
  </si>
  <si>
    <t>Insignificante - 2,05</t>
  </si>
  <si>
    <t>Muito baixa - 0,05</t>
  </si>
  <si>
    <t>Maior que 20% - 1,80</t>
  </si>
  <si>
    <t>Entre 5% e 10% - 2,20</t>
  </si>
  <si>
    <t>Moderada - 0,2</t>
  </si>
  <si>
    <t>Insignificante - 1,05</t>
  </si>
  <si>
    <t>Menor que 5% - 1,10</t>
  </si>
  <si>
    <t>Menor que 5% - 2,10</t>
  </si>
  <si>
    <t>Baixa - 0,1</t>
  </si>
  <si>
    <t>Entre 5% e 10% - 1,20</t>
  </si>
  <si>
    <t>Entre 10% e 20% - 2,40</t>
  </si>
  <si>
    <t>Maior que 20% - 2,80</t>
  </si>
  <si>
    <t>Muito Alta - 0,8</t>
  </si>
  <si>
    <t>Peso1</t>
  </si>
  <si>
    <t>Cronograma</t>
  </si>
  <si>
    <t>Peso2</t>
  </si>
  <si>
    <t>Peso1 X Peso2</t>
  </si>
  <si>
    <t>Aumento de custo insignificante</t>
  </si>
  <si>
    <t>Desvio no cronograma insignificante</t>
  </si>
  <si>
    <t>Alta - 0,40</t>
  </si>
  <si>
    <t>Aumento de custo significante</t>
  </si>
  <si>
    <t>Desvio menor que 5% no cronograma</t>
  </si>
  <si>
    <t>Baixa - 0,10</t>
  </si>
  <si>
    <t>Desvio total entre 5% e 10% no cronograma</t>
  </si>
  <si>
    <t>Desvio total entre 10% e 20% no cronograma</t>
  </si>
  <si>
    <t>Moderada - 0,20</t>
  </si>
  <si>
    <t>Muito Alta - 0,80</t>
  </si>
  <si>
    <r>
      <t>1.</t>
    </r>
    <r>
      <rPr>
        <b/>
        <sz val="7"/>
        <rFont val="Times New Roman"/>
        <family val="1"/>
      </rPr>
      <t xml:space="preserve">    </t>
    </r>
    <r>
      <rPr>
        <b/>
        <sz val="11"/>
        <rFont val="Calibri"/>
        <family val="2"/>
      </rPr>
      <t>Identificação das principais partes interessadas no projeto (stakeholders do projeto)</t>
    </r>
  </si>
  <si>
    <r>
      <t xml:space="preserve">Quadro 01. Matriz Interesse </t>
    </r>
    <r>
      <rPr>
        <b/>
        <i/>
        <sz val="11"/>
        <rFont val="Calibri"/>
        <family val="2"/>
      </rPr>
      <t>versus</t>
    </r>
    <r>
      <rPr>
        <b/>
        <sz val="11"/>
        <rFont val="Calibri"/>
        <family val="2"/>
      </rPr>
      <t xml:space="preserve"> Poder para o projeto</t>
    </r>
  </si>
  <si>
    <t>Identificação Stakeholder</t>
  </si>
  <si>
    <t>Nível de Interesse no projeto</t>
  </si>
  <si>
    <t>Nível de poder no projeto</t>
  </si>
  <si>
    <t>Explicar a ação a ser tomada:</t>
  </si>
  <si>
    <t>Plano de Comunicação</t>
  </si>
  <si>
    <t>Acessar KPIs personalizados e gráficos interativos. Melhorar a tomada de decisão individual com base nos dados da plataforma. Obter informações relevantes de forma rápida e visual.</t>
  </si>
  <si>
    <t>Usar o aplicativo, fornecer feedback, compartilhar experiências.</t>
  </si>
  <si>
    <r>
      <t xml:space="preserve">Data: 02/08/2025      Projeto: </t>
    </r>
    <r>
      <rPr>
        <sz val="14"/>
        <rFont val="Arial"/>
        <family val="2"/>
      </rPr>
      <t>Fidelize</t>
    </r>
  </si>
  <si>
    <t>Página: 01/01</t>
  </si>
  <si>
    <t>Garantir que o produto final atenda às necessidades do negócio. Entrega funcional e validada do sistema dentro do escopo. Alinhar entregas com os objetivos estratégicos da empresa/plataforma.</t>
  </si>
  <si>
    <t>Alto poder sobre decisões de escopo e determina a direção e as prioridades.</t>
  </si>
  <si>
    <t>Definir a visão do produto, priorizar recursos, tomar decisões estratégicas.</t>
  </si>
  <si>
    <t>Construir o sistema com qualidade técnica e dentro do prazo. Implementar os módulos com eficiência e segurança. Entregar um sistema funcional, escalável e bem documentado.</t>
  </si>
  <si>
    <t>Escrever código, realizar testes, resolver problemas técnicos.</t>
  </si>
  <si>
    <t>Atividade</t>
  </si>
  <si>
    <t>Assunto/Conteúdo</t>
  </si>
  <si>
    <t>Tipo</t>
  </si>
  <si>
    <t>Emissor –responsavel</t>
  </si>
  <si>
    <t>Local</t>
  </si>
  <si>
    <t>Receptor</t>
  </si>
  <si>
    <t>Data ou Freqüência</t>
  </si>
  <si>
    <t>Feedback</t>
  </si>
  <si>
    <t>Data Feedback</t>
  </si>
  <si>
    <t>Obter dados estratégicos para apoiar vendas e relacionamento. Usar o dashboard para análise de resultados de campanhas. Melhorar performance de vendas e retenção.</t>
  </si>
  <si>
    <t>Negociar parcerias, fechar vendas, atingir metas de receita.</t>
  </si>
  <si>
    <t>STK-001</t>
  </si>
  <si>
    <t>Kick-off Meeting</t>
  </si>
  <si>
    <t>Apresentação do projeto, objetivos, escopo, papéis e coleta de feedback inicial dos stakeholders.</t>
  </si>
  <si>
    <t>Reunião</t>
  </si>
  <si>
    <t>Gerente de Projeto</t>
  </si>
  <si>
    <t>Sala de Conferências A</t>
  </si>
  <si>
    <t>Todas as partes interessadas</t>
  </si>
  <si>
    <t>02/08/2025 (início do projeto)</t>
  </si>
  <si>
    <t>Coleta de feedback inicial sobre expectativas e cronograma</t>
  </si>
  <si>
    <t>Discussões adicionais previstas para o final da primeira sprint.</t>
  </si>
  <si>
    <t>Planejar campanhas mais eficientes com base em dados. Aumentar engajamento com base nos insights e alertas inteligentes da plataforma.</t>
  </si>
  <si>
    <t>Planejar campanhas, criar conteúdo, monitorar métricas de marketing.</t>
  </si>
  <si>
    <t>STK-002</t>
  </si>
  <si>
    <t>Reunião de Planejamento</t>
  </si>
  <si>
    <t>Priorização de funcionalidades, definição de backlog e critérios de aceitação.</t>
  </si>
  <si>
    <t>Scrum Master</t>
  </si>
  <si>
    <t>Sala de Reuniões Core</t>
  </si>
  <si>
    <t>Product Owner e equipe de desenvolvimento</t>
  </si>
  <si>
    <t>05/08/2025 e a cada 2 semanas</t>
  </si>
  <si>
    <t>Feedback do Product Owner sobre o backlog e estimativas</t>
  </si>
  <si>
    <t>Após cada reunião</t>
  </si>
  <si>
    <t>Planejamento iterativo e acompanhamento de progresso.</t>
  </si>
  <si>
    <t>Garantir que o sistema seja intuitivo e responsivo. Reduzir fricções na jornada do usuário. Oferecer uma boa experiência para retenção e satisfação.</t>
  </si>
  <si>
    <t>Design de interface, teste de usabilidade, feedback de design.</t>
  </si>
  <si>
    <t>STK-003</t>
  </si>
  <si>
    <t>Reuniões Diárias</t>
  </si>
  <si>
    <t>Atualização de progresso, identificação de impedimentos e definição de tarefas diárias.</t>
  </si>
  <si>
    <t>Responsável: Scrum Master</t>
  </si>
  <si>
    <t>Meeting online</t>
  </si>
  <si>
    <t>Diariamente</t>
  </si>
  <si>
    <t>Feedback rápido sobre avanços e bloqueios</t>
  </si>
  <si>
    <t>Durante as reuniões diárias</t>
  </si>
  <si>
    <t>Comunicação ágil e contínua.</t>
  </si>
  <si>
    <t>Ajudar clientes a utilizarem o dashboard corretamente. Reduzir número de chamados e dúvidas. Garantir que os usuários entendam as funcionalidades.</t>
  </si>
  <si>
    <t>Responder a perguntas, resolver problemas, coletar feedback do cliente.</t>
  </si>
  <si>
    <t>STK-004</t>
  </si>
  <si>
    <t>Reunião de Acompanhamento Comercial</t>
  </si>
  <si>
    <t>Alinhamento do dashboard com as demandas de vendas e clientes B2B.</t>
  </si>
  <si>
    <t>Responsável: Gerente Comercial</t>
  </si>
  <si>
    <t>Membros da equipe comercial</t>
  </si>
  <si>
    <t>Feedback sobre uso dos indicadores e insights</t>
  </si>
  <si>
    <t>Ajustes no dashboard conforme necessidades do time de vendas.</t>
  </si>
  <si>
    <t>Avaliar resultados estratégicos e ROI da plataforma. Acompanhar KPIs-chave e justificar investimentos. Ter visão consolidada e estratégica da operação.</t>
  </si>
  <si>
    <t>Estabelecer metas estratégicas, alocar recursos, tomar decisões de alto nível.</t>
  </si>
  <si>
    <t>STK-005</t>
  </si>
  <si>
    <t>Reunião de Estratégia de Marketing</t>
  </si>
  <si>
    <t>Planejamento de campanhas baseadas em dados e análise de desempenho via dashboard.</t>
  </si>
  <si>
    <t>Gerente de Marketing</t>
  </si>
  <si>
    <t>Membros da equipe de marketing</t>
  </si>
  <si>
    <t>15/08/2025 e a cada 15 dias</t>
  </si>
  <si>
    <t>Feedback sobre eficácia das campanhas e relatórios</t>
  </si>
  <si>
    <t>Ajuste de campanhas com base nos insights do dashboard.</t>
  </si>
  <si>
    <t xml:space="preserve"> STK-006</t>
  </si>
  <si>
    <t>Sessões de UX e Design</t>
  </si>
  <si>
    <t>Testes de usabilidade, prototipagem e análise de interface.</t>
  </si>
  <si>
    <t>Workshop</t>
  </si>
  <si>
    <t>Responsável: Líder de UX</t>
  </si>
  <si>
    <t>Laboratório de Usabilidade</t>
  </si>
  <si>
    <t>Equipe de UX e Product Owner</t>
  </si>
  <si>
    <t>Semanalmente</t>
  </si>
  <si>
    <t>Feedback sobre navegação e experiência do usuário</t>
  </si>
  <si>
    <t xml:space="preserve"> Após cada sessão</t>
  </si>
  <si>
    <t>Melhorias contínuas de design e fluxo.</t>
  </si>
  <si>
    <t>STK-007</t>
  </si>
  <si>
    <t>Reunião de Feedback dos Usuários Piloto</t>
  </si>
  <si>
    <t>Coleta de percepções sobre a primeira versão funcional do dashboard.</t>
  </si>
  <si>
    <t>Responsável: Gerente de Suporte ao Cliente</t>
  </si>
  <si>
    <t>Usuários piloto e suporte</t>
  </si>
  <si>
    <t>10/09/2025 e a cada 2 semanas</t>
  </si>
  <si>
    <t>Feedback dos usuários sobre usabilidade e performance</t>
  </si>
  <si>
    <t>Resolução de bugs e ajustes rápidos.</t>
  </si>
  <si>
    <t>STK-008</t>
  </si>
  <si>
    <t>Revisão da Sprint e Retrospectiva</t>
  </si>
  <si>
    <t>Avaliação dos resultados e desempenho da equipe.</t>
  </si>
  <si>
    <t>A cada sprint (quinzenal)</t>
  </si>
  <si>
    <t>Feedback sobre entregas e melhorias de processo</t>
  </si>
  <si>
    <t>Ações corretivas e preventivas para o próximo ciclo.</t>
  </si>
  <si>
    <t>STK-009</t>
  </si>
  <si>
    <t>Reunião de Revisão Estratégica</t>
  </si>
  <si>
    <t>Avaliação do alinhamento do projeto aos objetivos organizacionais e ROI.</t>
  </si>
  <si>
    <t>Responsável: CEO</t>
  </si>
  <si>
    <t>Sala de Diretoria</t>
  </si>
  <si>
    <t>Alta Administração</t>
  </si>
  <si>
    <t>Mensal (última sexta de cada mês)</t>
  </si>
  <si>
    <t>Feedback sobre indicadores estratégicos</t>
  </si>
  <si>
    <t>Decisões estratégicas sobre o andamento do projeto.</t>
  </si>
  <si>
    <t>STK-010</t>
  </si>
  <si>
    <t>Encerramento do Projeto</t>
  </si>
  <si>
    <t>Apresentação dos resultados, lições aprendidas e indicadores de sucesso.</t>
  </si>
  <si>
    <t>Quarto Piso, Bloco B</t>
  </si>
  <si>
    <t>Todos os stakeholders</t>
  </si>
  <si>
    <t>10/11/2025 (fim do projeto)</t>
  </si>
  <si>
    <t>Feedback geral sobre entregas e satisfação dos stakeholders</t>
  </si>
  <si>
    <t>Entrega do relatório final e encerramento formal do projeto.</t>
  </si>
  <si>
    <t>Gerente do projeto: Marcella Santana</t>
  </si>
  <si>
    <t>Elaborado por: Time Fidelize</t>
  </si>
  <si>
    <t>Aprovado por: Cannoli &amp; FECAP</t>
  </si>
  <si>
    <r>
      <t xml:space="preserve">Alternativas para o campo </t>
    </r>
    <r>
      <rPr>
        <b/>
        <sz val="11"/>
        <color rgb="FFFF0000"/>
        <rFont val="Calibri"/>
        <family val="2"/>
      </rPr>
      <t>Tipo de Mensagem</t>
    </r>
    <r>
      <rPr>
        <sz val="11"/>
        <color rgb="FFFF0000"/>
        <rFont val="Calibri"/>
        <family val="2"/>
      </rPr>
      <t xml:space="preserve">: </t>
    </r>
    <r>
      <rPr>
        <sz val="11"/>
        <rFont val="Calibri"/>
        <family val="2"/>
      </rPr>
      <t xml:space="preserve">Relatório executivo, Relatório operacional, Cartilha, Apostila, Prontuário de registros. Arquivo, </t>
    </r>
    <r>
      <rPr>
        <i/>
        <sz val="11"/>
        <rFont val="Calibri"/>
        <family val="2"/>
      </rPr>
      <t>e-Mail</t>
    </r>
    <r>
      <rPr>
        <sz val="11"/>
        <rFont val="Calibri"/>
        <family val="2"/>
      </rPr>
      <t xml:space="preserve">, Correio convencional, Carta registrada, </t>
    </r>
    <r>
      <rPr>
        <i/>
        <sz val="11"/>
        <rFont val="Calibri"/>
        <family val="2"/>
      </rPr>
      <t>Corrier</t>
    </r>
    <r>
      <rPr>
        <sz val="11"/>
        <rFont val="Calibri"/>
        <family val="2"/>
      </rPr>
      <t>, Telefone (</t>
    </r>
    <r>
      <rPr>
        <i/>
        <sz val="11"/>
        <rFont val="Calibri"/>
        <family val="2"/>
      </rPr>
      <t>voice-mail</t>
    </r>
    <r>
      <rPr>
        <sz val="11"/>
        <rFont val="Calibri"/>
        <family val="2"/>
      </rPr>
      <t xml:space="preserve">), Fax, Reunião, Apresentação, Workshop, Memorando (de/para), Jornal, Vídeo (filme VHS, AVI, etc), Quadro de avisos, Painel, Lista de discução, </t>
    </r>
    <r>
      <rPr>
        <i/>
        <sz val="11"/>
        <rFont val="Calibri"/>
        <family val="2"/>
      </rPr>
      <t>Internet</t>
    </r>
    <r>
      <rPr>
        <sz val="11"/>
        <rFont val="Calibri"/>
        <family val="2"/>
      </rPr>
      <t xml:space="preserve"> ou </t>
    </r>
    <r>
      <rPr>
        <i/>
        <sz val="11"/>
        <rFont val="Calibri"/>
        <family val="2"/>
      </rPr>
      <t>Intranet</t>
    </r>
    <r>
      <rPr>
        <sz val="11"/>
        <rFont val="Calibri"/>
        <family val="2"/>
      </rPr>
      <t>, entre outras.</t>
    </r>
  </si>
  <si>
    <t>Perfil de Qualificação</t>
  </si>
  <si>
    <t xml:space="preserve">MAPA DE COMPETÊNCIAS </t>
  </si>
  <si>
    <t>Nenhum conhecimento</t>
  </si>
  <si>
    <t>Participou de treinamento</t>
  </si>
  <si>
    <t>Revisado em Nov/2025</t>
  </si>
  <si>
    <t>Domínio básico</t>
  </si>
  <si>
    <t>Dashboard Cannoli</t>
  </si>
  <si>
    <t>Experiência prática</t>
  </si>
  <si>
    <t>Responsável: Marcella Santana Gonçalves Diniz Rocha</t>
  </si>
  <si>
    <t>Especialista</t>
  </si>
  <si>
    <t>Habilitação</t>
  </si>
  <si>
    <t>Pessoa</t>
  </si>
  <si>
    <t>Definição e Priorização de Backlog</t>
  </si>
  <si>
    <t xml:space="preserve">Feedback dos usuários e stakeholders </t>
  </si>
  <si>
    <t>Planejar atividades</t>
  </si>
  <si>
    <t>Elaborar proposta comercial</t>
  </si>
  <si>
    <t>Projetar a interface do usuário</t>
  </si>
  <si>
    <t>Integrar sistemas de terceiros e APIs</t>
  </si>
  <si>
    <t>Utiliza Planilha</t>
  </si>
  <si>
    <t>Utiliza VSCODE</t>
  </si>
  <si>
    <t>Plano de Gerenciamento de RH</t>
  </si>
  <si>
    <t>Planejamento Estratégico</t>
  </si>
  <si>
    <t>Elaborar a W.B.S</t>
  </si>
  <si>
    <t>Gerencia Projetos</t>
  </si>
  <si>
    <t>Controle de Qualidade</t>
  </si>
  <si>
    <t>Criar wireframes</t>
  </si>
  <si>
    <t>Mitigar riscos</t>
  </si>
  <si>
    <t>Procedimentos Administrativos</t>
  </si>
  <si>
    <t>Faturamento da Startup</t>
  </si>
  <si>
    <t>(…)</t>
  </si>
  <si>
    <t>Marcella</t>
  </si>
  <si>
    <t>João Pedro</t>
  </si>
  <si>
    <t>Thays Helyda</t>
  </si>
  <si>
    <t>Gustavo de Souza</t>
  </si>
  <si>
    <t>Modelo de registro de treinamento no local de trabalho.</t>
  </si>
  <si>
    <t>C</t>
  </si>
  <si>
    <t>R / A</t>
  </si>
  <si>
    <t>Ter uma visão clara do aplicativo e seu posicionamento no mercado</t>
  </si>
  <si>
    <t>1.84</t>
  </si>
  <si>
    <t>Mitigar riscos e tomar ações proativas para evitar atrasos e problemas</t>
  </si>
  <si>
    <t>1.83</t>
  </si>
  <si>
    <t>Coletar feedback dos usuários e stakeholders e usá-lo para refinar e melhorar o produto</t>
  </si>
  <si>
    <t>1.82</t>
  </si>
  <si>
    <t>Revisar e validar o trabalho concluído pela equipe de desenvolvimento para garantir que atenda aos critérios de aceitação e às expectativas</t>
  </si>
  <si>
    <t>1.81</t>
  </si>
  <si>
    <t>Tomar decisões oportunas sobre o que deve ser desenvolvido e em que ordem, com base nas prioridades e feedback</t>
  </si>
  <si>
    <t>1.80</t>
  </si>
  <si>
    <t>Participar de cerimônias ágeis, como reuniões de planejamento, revisões e retrospectivas</t>
  </si>
  <si>
    <t>1.79</t>
  </si>
  <si>
    <t>Certificar-se de que a equipe de desenvolvimento compreenda os requisitos e as expectativas</t>
  </si>
  <si>
    <t>1.78</t>
  </si>
  <si>
    <t>Elicitar, documentar e manter requisitos do produto</t>
  </si>
  <si>
    <t>1.77</t>
  </si>
  <si>
    <t>Manter uma comunicação clara e eficaz com stakeholders, incluindo clientes, gerência e equipe de desenvolvimento</t>
  </si>
  <si>
    <t>1.76</t>
  </si>
  <si>
    <t>Colaborar com stakeholders para definir requisitos e funcionalidades do produto</t>
  </si>
  <si>
    <t>1.75</t>
  </si>
  <si>
    <t>1.74</t>
  </si>
  <si>
    <t>Manter-se atualizado com as melhores práticas de UX e design de interação</t>
  </si>
  <si>
    <t>1.73</t>
  </si>
  <si>
    <t>Projetar interfaces que se adaptem a diferentes dispositivos e tamanhos de tela</t>
  </si>
  <si>
    <t>1.72</t>
  </si>
  <si>
    <t>Cumprir padrões de acessibilidade, como WCAG (Web Content Accessibility Guidelines)</t>
  </si>
  <si>
    <t>1.71</t>
  </si>
  <si>
    <t>Trabalhar em estreita colaboração com equipes de desenvolvimento, design visual, marketing e outros departamentos</t>
  </si>
  <si>
    <t>1.70</t>
  </si>
  <si>
    <t>Criar wireframes (esboços) de telas e fluxos de usuário para visualizar o design</t>
  </si>
  <si>
    <t>1.69</t>
  </si>
  <si>
    <t>Organizar informações e estruturar a navegação em todo o aplicativo</t>
  </si>
  <si>
    <t>1.68</t>
  </si>
  <si>
    <t>Planejar e realizar testes de usabilidade com usuários reais para identificar problemas de design</t>
  </si>
  <si>
    <t>1.67</t>
  </si>
  <si>
    <t>Criar protótipos interativos de produtos ou interfaces para testes de usabilidade</t>
  </si>
  <si>
    <t>1.66</t>
  </si>
  <si>
    <t>Garantir que a interface seja intuitiva e esteticamente agradável</t>
  </si>
  <si>
    <t>1.65</t>
  </si>
  <si>
    <t>Projetar a interface do usuário, incluindo elementos como layouts, botões, ícones e tipografia</t>
  </si>
  <si>
    <t>1.64</t>
  </si>
  <si>
    <t>Realizar pesquisas para compreender as necessidades e preferências dos usuários</t>
  </si>
  <si>
    <t>1.63</t>
  </si>
  <si>
    <t>Acompanhar as tendências tecnológicas e explorar novas tecnologias e ferramentas</t>
  </si>
  <si>
    <t>1.62</t>
  </si>
  <si>
    <t>Criar documentação técnica abrangente, incluindo especificações, diagramas e manuais de uso</t>
  </si>
  <si>
    <t>1.61</t>
  </si>
  <si>
    <t>Garantir a interoperabilidade entre diferentes componentes do software</t>
  </si>
  <si>
    <t>1.60</t>
  </si>
  <si>
    <t>Integrar sistemas de terceiros e APIs em soluções existentes.</t>
  </si>
  <si>
    <t>1.59</t>
  </si>
  <si>
    <t>Implementação de ações corretivas e preventivas de Ti</t>
  </si>
  <si>
    <t>1.58</t>
  </si>
  <si>
    <t>Otimizar algoritmos e estruturas de dados para melhorar o desempenho</t>
  </si>
  <si>
    <t>1.57</t>
  </si>
  <si>
    <t>Identificar áreas de melhoria de desempenho no código e nas aplicações</t>
  </si>
  <si>
    <t>1.56</t>
  </si>
  <si>
    <t>Solucionar problemas técnicos desafiadores e complexos</t>
  </si>
  <si>
    <t>1.55</t>
  </si>
  <si>
    <t>Transferir conhecimento e boas práticas de desenvolvimento</t>
  </si>
  <si>
    <t>1.54</t>
  </si>
  <si>
    <t>Orientar e treinar desenvolvedores juniores e intermediários</t>
  </si>
  <si>
    <t>1.53</t>
  </si>
  <si>
    <t>Definir a arquitetura de software e escolher as tecnologias adequadas</t>
  </si>
  <si>
    <t>1.52</t>
  </si>
  <si>
    <t>Codificar soluções eficientes e escaláveis</t>
  </si>
  <si>
    <t>1.51</t>
  </si>
  <si>
    <t>Projetar, desenvolver e manter o aplicativo funcional</t>
  </si>
  <si>
    <t>1.50</t>
  </si>
  <si>
    <t>R</t>
  </si>
  <si>
    <t>Estabelecimento de estratégias de precificação</t>
  </si>
  <si>
    <t>1.49</t>
  </si>
  <si>
    <t>Adaptação das estratégias de vendas com base na análise de mercado</t>
  </si>
  <si>
    <t>1.48</t>
  </si>
  <si>
    <t>Garantia de conformidade com requisitos regulatórios</t>
  </si>
  <si>
    <t>1.47</t>
  </si>
  <si>
    <t>Acompanhamento das tendências de mercado e mudanças na concorrência</t>
  </si>
  <si>
    <t>1.46</t>
  </si>
  <si>
    <t>Supervisão das atividades de vendas, incluindo prospecção, abordagem de clientes</t>
  </si>
  <si>
    <t>1.45</t>
  </si>
  <si>
    <t>Monitoramento do progresso em direção às metas estratégicas e econômicas da empresa</t>
  </si>
  <si>
    <t>1.44</t>
  </si>
  <si>
    <t>Identificação de oportunidades de mercado e segmentação de clientes</t>
  </si>
  <si>
    <t>1.43</t>
  </si>
  <si>
    <t>Tomada de decisões financeiras estratégicas</t>
  </si>
  <si>
    <t>1.42</t>
  </si>
  <si>
    <t>Avaliação de desempenho e gestão de finanças</t>
  </si>
  <si>
    <t>1.41</t>
  </si>
  <si>
    <t>Treinamento de Desenvolvimento da Equipe Comercial</t>
  </si>
  <si>
    <t>1.40</t>
  </si>
  <si>
    <t>Análise de métricas de vendas, como conversão, ticket médio e taxa de fechamento</t>
  </si>
  <si>
    <t>1.39</t>
  </si>
  <si>
    <t>Definição de metas de vendas e objetivos a curto e longo prazo</t>
  </si>
  <si>
    <t>1.38</t>
  </si>
  <si>
    <t>Desenvolvimento de Estratégias de Vendas</t>
  </si>
  <si>
    <t>1.37</t>
  </si>
  <si>
    <t>Tomada de decisões com base em informações quantitativas e qualitativas</t>
  </si>
  <si>
    <t>1.36</t>
  </si>
  <si>
    <t>Preparação de relatórios gerenciais para a alta administração</t>
  </si>
  <si>
    <t>1.35</t>
  </si>
  <si>
    <t>1.34</t>
  </si>
  <si>
    <t>Aquisição de materiais e suprimentos necessários para as operações da empresa</t>
  </si>
  <si>
    <t>1.33</t>
  </si>
  <si>
    <t>Resolução de conflitos e promoção de um ambiente de trabalho saudável</t>
  </si>
  <si>
    <t>1.32</t>
  </si>
  <si>
    <t>Monitoramento do progresso em direção às metas estratégicas</t>
  </si>
  <si>
    <t>1.31</t>
  </si>
  <si>
    <t>Desenvolvimento de metas e objetivos organizacionais</t>
  </si>
  <si>
    <t>1.30</t>
  </si>
  <si>
    <t>P - Participante</t>
  </si>
  <si>
    <t>1.29</t>
  </si>
  <si>
    <t>I - Informado</t>
  </si>
  <si>
    <t>Avaliação de desempenho e gestão de feedback</t>
  </si>
  <si>
    <t>1.28</t>
  </si>
  <si>
    <t>C - Consultado</t>
  </si>
  <si>
    <t>Treinamento de Desenvolvimento da Equipe</t>
  </si>
  <si>
    <t>1.27</t>
  </si>
  <si>
    <t>A - Aprovação</t>
  </si>
  <si>
    <t>Elaborar o Cronograma de Atividades</t>
  </si>
  <si>
    <t>1.26</t>
  </si>
  <si>
    <t>R - Responsável pela Execução</t>
  </si>
  <si>
    <t>Elaborar o Planejamento Estratégico</t>
  </si>
  <si>
    <t>1.25</t>
  </si>
  <si>
    <t>1.24</t>
  </si>
  <si>
    <t>Legenda - - Gráfico RACI (Responsabilidade, Aprovação, Consultado e Informado)</t>
  </si>
  <si>
    <t>1.23</t>
  </si>
  <si>
    <t>Promoção de uma cultura de melhoria contínua da qualidade na empresa</t>
  </si>
  <si>
    <t>1.22</t>
  </si>
  <si>
    <t>Implementação de ações corretivas e preventivas</t>
  </si>
  <si>
    <t>1.21</t>
  </si>
  <si>
    <t>Identificação de problemas de qualidade e participação na busca de soluções</t>
  </si>
  <si>
    <t>1.20</t>
  </si>
  <si>
    <t>I</t>
  </si>
  <si>
    <t>Fechamento e Relatório Final</t>
  </si>
  <si>
    <t>1.19</t>
  </si>
  <si>
    <t>Colaborador de Suporte / Design</t>
  </si>
  <si>
    <t>Planejamento de IA e Machine Learning</t>
  </si>
  <si>
    <t>1.18</t>
  </si>
  <si>
    <t>Analista de Dados / Empreendedorismo</t>
  </si>
  <si>
    <t>Thays Helyda da Silva</t>
  </si>
  <si>
    <t>R/A</t>
  </si>
  <si>
    <t>Supervisão do Dashboard</t>
  </si>
  <si>
    <t>1.17</t>
  </si>
  <si>
    <t>Desenvolvedor Full Stack / Líder Técnico</t>
  </si>
  <si>
    <t>João Pedro Brosselin</t>
  </si>
  <si>
    <t>Integração de APIs e Funcionalidades</t>
  </si>
  <si>
    <t>1.16</t>
  </si>
  <si>
    <t>Avaliação de Desempenho da Equipe</t>
  </si>
  <si>
    <t>1.15</t>
  </si>
  <si>
    <t>EQUIPE DO PROJETO</t>
  </si>
  <si>
    <t>Comunicação e Reuniões de Acompanhamento</t>
  </si>
  <si>
    <t>1.14</t>
  </si>
  <si>
    <t>Feedback de Stakeholders e Usuários</t>
  </si>
  <si>
    <t>1.13</t>
  </si>
  <si>
    <t>Mitigação de Riscos</t>
  </si>
  <si>
    <t>1.12</t>
  </si>
  <si>
    <t>Controle de Qualidade do Sistema</t>
  </si>
  <si>
    <t>1.11</t>
  </si>
  <si>
    <t>Design e Prototipagem no Figma</t>
  </si>
  <si>
    <t>1.10</t>
  </si>
  <si>
    <t>Entregas de Cibersegurança</t>
  </si>
  <si>
    <t>1.9</t>
  </si>
  <si>
    <t>Produção de Relatórios e Documentação</t>
  </si>
  <si>
    <t>1.8</t>
  </si>
  <si>
    <t>Planejamento Estratégico do Projeto</t>
  </si>
  <si>
    <t>1.7</t>
  </si>
  <si>
    <t>Análise de Dados e Indicadores</t>
  </si>
  <si>
    <t>1.6</t>
  </si>
  <si>
    <t>Implementação do Dashboard</t>
  </si>
  <si>
    <t>1.5</t>
  </si>
  <si>
    <t>Desenvolvimento do Sistema</t>
  </si>
  <si>
    <t>1.4</t>
  </si>
  <si>
    <t>Organização do Repositório (GitHub)</t>
  </si>
  <si>
    <t>Definição do Cronograma</t>
  </si>
  <si>
    <t>Elaboração da WBS</t>
  </si>
  <si>
    <t>Planejamento do Projeto</t>
  </si>
  <si>
    <t>DS</t>
  </si>
  <si>
    <t>AD</t>
  </si>
  <si>
    <t>DEV</t>
  </si>
  <si>
    <t>GP</t>
  </si>
  <si>
    <t xml:space="preserve">Etapas – Atividades </t>
  </si>
  <si>
    <t>Equipe do Projeto</t>
  </si>
  <si>
    <t>Matriz de Responsabilidade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</si>
</sst>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R$&quot;\ #,##0.00;[Red]\-&quot;R$&quot;\ #,##0.00"/>
    <numFmt numFmtId="164" formatCode="_(&quot;R$ &quot;* #,##0.00_);_(&quot;R$ &quot;* \(#,##0.00\);_(&quot;R$ &quot;* &quot;-&quot;??_);_(@_)"/>
    <numFmt numFmtId="165" formatCode="ddd\,\ dd/mm/yyyy"/>
    <numFmt numFmtId="166" formatCode="d\-mmm\-yyyy"/>
    <numFmt numFmtId="167" formatCode="d"/>
    <numFmt numFmtId="168" formatCode="d/m/yy;@"/>
    <numFmt numFmtId="169" formatCode="&quot;R$&quot;\ #,##0.00"/>
    <numFmt numFmtId="170" formatCode="[$-416]mmm/yy;@"/>
    <numFmt numFmtId="171" formatCode="&quot;$&quot;#,##0.00_);[Red]\(&quot;$&quot;#,##0.00\)"/>
    <numFmt numFmtId="172" formatCode="&quot;R$ &quot;#,##0_);\(&quot;R$ &quot;#,##0\)"/>
    <numFmt numFmtId="173" formatCode="0_);\(0\)"/>
  </numFmts>
  <fonts count="96"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2"/>
      <name val="Times New Roman"/>
      <family val="1"/>
    </font>
    <font>
      <b/>
      <sz val="10"/>
      <name val="Arial"/>
      <family val="2"/>
    </font>
    <font>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b/>
      <sz val="11"/>
      <name val="Arial"/>
      <family val="2"/>
    </font>
    <font>
      <sz val="12"/>
      <name val="Arial"/>
      <family val="2"/>
    </font>
    <font>
      <sz val="9"/>
      <name val="Arial"/>
      <family val="2"/>
    </font>
    <font>
      <sz val="10"/>
      <name val="Times New Roman"/>
      <family val="1"/>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18"/>
      <color theme="9" tint="-0.249977111117893"/>
      <name val="Arial"/>
      <family val="2"/>
    </font>
    <font>
      <b/>
      <sz val="20"/>
      <color theme="4"/>
      <name val="Arial"/>
      <family val="2"/>
    </font>
    <font>
      <sz val="10"/>
      <color rgb="FF374151"/>
      <name val="Segoe UI"/>
      <family val="2"/>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color theme="1"/>
      <name val="Arial"/>
      <family val="2"/>
    </font>
    <font>
      <b/>
      <sz val="12"/>
      <name val="Arial"/>
      <family val="2"/>
    </font>
    <font>
      <u/>
      <sz val="12"/>
      <name val="Arial"/>
      <family val="2"/>
    </font>
    <font>
      <sz val="12"/>
      <color rgb="FF374151"/>
      <name val="Arial"/>
      <family val="2"/>
    </font>
    <font>
      <sz val="11"/>
      <name val="Arial"/>
      <family val="2"/>
    </font>
    <font>
      <b/>
      <sz val="14"/>
      <name val="Arial"/>
      <family val="2"/>
    </font>
    <font>
      <sz val="9"/>
      <name val="Times New Roman"/>
      <family val="1"/>
    </font>
    <font>
      <sz val="10"/>
      <color rgb="FF374151"/>
      <name val="Arial"/>
      <family val="2"/>
    </font>
    <font>
      <b/>
      <sz val="9"/>
      <name val="Arial"/>
      <family val="2"/>
    </font>
    <font>
      <sz val="14"/>
      <name val="Arial"/>
      <family val="2"/>
    </font>
    <font>
      <b/>
      <sz val="14"/>
      <color theme="1"/>
      <name val="Arial"/>
      <family val="2"/>
    </font>
    <font>
      <b/>
      <sz val="18"/>
      <name val="Arial"/>
      <family val="2"/>
    </font>
    <font>
      <u/>
      <sz val="11"/>
      <color theme="10"/>
      <name val="Calibri"/>
      <family val="2"/>
      <scheme val="minor"/>
    </font>
    <font>
      <sz val="11"/>
      <color theme="1"/>
      <name val="Calibri"/>
      <family val="2"/>
    </font>
    <font>
      <sz val="10"/>
      <name val="Arial"/>
      <family val="2"/>
    </font>
    <font>
      <b/>
      <sz val="10"/>
      <name val="Calibri"/>
      <family val="2"/>
      <scheme val="minor"/>
    </font>
    <font>
      <i/>
      <sz val="10"/>
      <name val="Calibri"/>
      <family val="2"/>
      <scheme val="minor"/>
    </font>
    <font>
      <sz val="10"/>
      <color rgb="FFFF0000"/>
      <name val="Arial"/>
      <family val="2"/>
    </font>
    <font>
      <b/>
      <sz val="10"/>
      <color theme="1"/>
      <name val="Arial"/>
      <family val="2"/>
    </font>
    <font>
      <b/>
      <sz val="11"/>
      <color theme="0"/>
      <name val="Calibri"/>
      <family val="2"/>
      <scheme val="minor"/>
    </font>
    <font>
      <b/>
      <sz val="11"/>
      <name val="Calibri"/>
      <family val="2"/>
      <scheme val="minor"/>
    </font>
    <font>
      <b/>
      <sz val="11"/>
      <color theme="1"/>
      <name val="Calibri"/>
      <family val="2"/>
    </font>
    <font>
      <b/>
      <i/>
      <sz val="12"/>
      <color theme="1"/>
      <name val="Calibri"/>
      <family val="2"/>
    </font>
    <font>
      <b/>
      <sz val="9"/>
      <color indexed="81"/>
      <name val="Tahoma"/>
      <family val="2"/>
    </font>
    <font>
      <sz val="9"/>
      <color indexed="81"/>
      <name val="Tahoma"/>
      <family val="2"/>
    </font>
    <font>
      <b/>
      <i/>
      <sz val="11"/>
      <color theme="1"/>
      <name val="Calibri"/>
      <family val="2"/>
    </font>
    <font>
      <b/>
      <i/>
      <sz val="11"/>
      <color theme="1"/>
      <name val="Calibri"/>
      <family val="2"/>
      <scheme val="minor"/>
    </font>
    <font>
      <sz val="10"/>
      <name val="Arial"/>
    </font>
    <font>
      <b/>
      <sz val="10"/>
      <color indexed="9"/>
      <name val="Arial"/>
    </font>
    <font>
      <b/>
      <sz val="10"/>
      <name val="Arial"/>
    </font>
    <font>
      <b/>
      <sz val="8"/>
      <color indexed="9"/>
      <name val="Tahoma"/>
      <family val="2"/>
    </font>
    <font>
      <b/>
      <sz val="16"/>
      <name val="Arial"/>
      <family val="2"/>
    </font>
    <font>
      <b/>
      <sz val="8"/>
      <name val="Arial"/>
      <family val="2"/>
    </font>
    <font>
      <b/>
      <sz val="8"/>
      <color indexed="8"/>
      <name val="Arial"/>
      <family val="2"/>
    </font>
    <font>
      <sz val="8"/>
      <color indexed="8"/>
      <name val="Arial"/>
      <family val="2"/>
    </font>
    <font>
      <b/>
      <sz val="12"/>
      <color indexed="10"/>
      <name val="Arial"/>
      <family val="2"/>
    </font>
    <font>
      <b/>
      <sz val="11"/>
      <name val="Calibri"/>
      <family val="2"/>
    </font>
    <font>
      <b/>
      <sz val="7"/>
      <name val="Times New Roman"/>
      <family val="1"/>
    </font>
    <font>
      <sz val="11"/>
      <name val="Calibri"/>
      <family val="2"/>
    </font>
    <font>
      <b/>
      <i/>
      <sz val="11"/>
      <name val="Calibri"/>
      <family val="2"/>
    </font>
    <font>
      <sz val="3"/>
      <name val="Calibri"/>
      <family val="2"/>
    </font>
    <font>
      <sz val="10"/>
      <name val="Calibri"/>
      <family val="2"/>
    </font>
    <font>
      <b/>
      <sz val="10"/>
      <name val="Calibri"/>
      <family val="2"/>
    </font>
    <font>
      <sz val="11"/>
      <color rgb="FFFF0000"/>
      <name val="Calibri"/>
      <family val="2"/>
    </font>
    <font>
      <b/>
      <sz val="11"/>
      <color rgb="FFFF0000"/>
      <name val="Calibri"/>
      <family val="2"/>
    </font>
    <font>
      <i/>
      <sz val="11"/>
      <name val="Calibri"/>
      <family val="2"/>
    </font>
    <font>
      <sz val="12"/>
      <color rgb="FF374151"/>
      <name val="Segoe UI"/>
      <family val="2"/>
    </font>
    <font>
      <sz val="10"/>
      <color theme="1"/>
      <name val="Arial"/>
      <family val="2"/>
    </font>
    <font>
      <b/>
      <sz val="12"/>
      <color indexed="9"/>
      <name val="Arial"/>
      <family val="2"/>
    </font>
    <font>
      <i/>
      <sz val="14"/>
      <name val="Arial"/>
      <family val="2"/>
    </font>
    <font>
      <b/>
      <sz val="14"/>
      <color indexed="62"/>
      <name val="Arial"/>
      <family val="2"/>
    </font>
    <font>
      <sz val="12"/>
      <color indexed="9"/>
      <name val="Arial"/>
      <family val="2"/>
    </font>
    <font>
      <sz val="10"/>
      <color indexed="62"/>
      <name val="Arial"/>
      <family val="2"/>
    </font>
    <font>
      <b/>
      <sz val="10"/>
      <color indexed="9"/>
      <name val="Arial"/>
      <family val="2"/>
    </font>
    <font>
      <b/>
      <sz val="10"/>
      <color theme="0"/>
      <name val="Arial"/>
      <family val="2"/>
    </font>
    <font>
      <sz val="10"/>
      <color theme="0"/>
      <name val="Arial"/>
      <family val="2"/>
    </font>
    <font>
      <sz val="12"/>
      <name val="Calibri"/>
      <family val="2"/>
      <scheme val="minor"/>
    </font>
    <font>
      <sz val="9"/>
      <color rgb="FF000000"/>
      <name val="Calibri"/>
      <family val="2"/>
    </font>
    <font>
      <sz val="9"/>
      <name val="Calibri"/>
      <family val="2"/>
    </font>
    <font>
      <b/>
      <sz val="15"/>
      <name val="Arial"/>
      <family val="2"/>
    </font>
  </fonts>
  <fills count="43">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
      <patternFill patternType="solid">
        <fgColor theme="5" tint="0.39997558519241921"/>
        <bgColor indexed="64"/>
      </patternFill>
    </fill>
    <fill>
      <patternFill patternType="solid">
        <fgColor rgb="FFDCCAF6"/>
        <bgColor indexed="64"/>
      </patternFill>
    </fill>
    <fill>
      <patternFill patternType="solid">
        <fgColor theme="9" tint="0.59999389629810485"/>
        <bgColor indexed="64"/>
      </patternFill>
    </fill>
    <fill>
      <patternFill patternType="solid">
        <fgColor theme="4"/>
        <bgColor indexed="64"/>
      </patternFill>
    </fill>
    <fill>
      <patternFill patternType="solid">
        <fgColor indexed="56"/>
      </patternFill>
    </fill>
    <fill>
      <patternFill patternType="solid">
        <fgColor indexed="41"/>
        <bgColor indexed="64"/>
      </patternFill>
    </fill>
    <fill>
      <patternFill patternType="solid">
        <fgColor indexed="22"/>
        <bgColor indexed="64"/>
      </patternFill>
    </fill>
    <fill>
      <patternFill patternType="solid">
        <fgColor rgb="FFFF0000"/>
        <bgColor indexed="64"/>
      </patternFill>
    </fill>
    <fill>
      <patternFill patternType="solid">
        <fgColor indexed="43"/>
        <bgColor indexed="64"/>
      </patternFill>
    </fill>
    <fill>
      <patternFill patternType="solid">
        <fgColor indexed="47"/>
        <bgColor indexed="64"/>
      </patternFill>
    </fill>
    <fill>
      <patternFill patternType="solid">
        <fgColor indexed="10"/>
        <bgColor indexed="64"/>
      </patternFill>
    </fill>
    <fill>
      <patternFill patternType="gray125">
        <bgColor indexed="9"/>
      </patternFill>
    </fill>
    <fill>
      <patternFill patternType="solid">
        <fgColor rgb="FFA679E7"/>
        <bgColor indexed="64"/>
      </patternFill>
    </fill>
    <fill>
      <patternFill patternType="solid">
        <fgColor rgb="FFFFFFFF"/>
        <bgColor indexed="64"/>
      </patternFill>
    </fill>
    <fill>
      <patternFill patternType="gray125">
        <bgColor rgb="FFDFDFDF"/>
      </patternFill>
    </fill>
    <fill>
      <patternFill patternType="solid">
        <fgColor theme="6" tint="0.39997558519241921"/>
        <bgColor indexed="64"/>
      </patternFill>
    </fill>
    <fill>
      <patternFill patternType="solid">
        <fgColor rgb="FFFFFF66"/>
        <bgColor indexed="64"/>
      </patternFill>
    </fill>
  </fills>
  <borders count="1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theme="3"/>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thin">
        <color theme="3"/>
      </right>
      <top style="thin">
        <color theme="3"/>
      </top>
      <bottom style="thin">
        <color theme="3"/>
      </bottom>
      <diagonal/>
    </border>
    <border>
      <left style="thin">
        <color theme="3"/>
      </left>
      <right style="medium">
        <color indexed="64"/>
      </right>
      <top style="thin">
        <color theme="3"/>
      </top>
      <bottom style="thin">
        <color theme="3"/>
      </bottom>
      <diagonal/>
    </border>
    <border>
      <left style="thin">
        <color theme="3"/>
      </left>
      <right style="medium">
        <color indexed="64"/>
      </right>
      <top/>
      <bottom style="thin">
        <color theme="3"/>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3"/>
      </left>
      <right/>
      <top style="thin">
        <color theme="3"/>
      </top>
      <bottom style="thin">
        <color theme="3"/>
      </bottom>
      <diagonal/>
    </border>
    <border>
      <left style="thin">
        <color theme="3"/>
      </left>
      <right/>
      <top style="thin">
        <color theme="3"/>
      </top>
      <bottom/>
      <diagonal/>
    </border>
    <border>
      <left/>
      <right style="thin">
        <color theme="3"/>
      </right>
      <top/>
      <bottom style="thin">
        <color theme="3"/>
      </bottom>
      <diagonal/>
    </border>
    <border>
      <left style="thin">
        <color indexed="64"/>
      </left>
      <right style="thin">
        <color indexed="64"/>
      </right>
      <top style="thin">
        <color indexed="64"/>
      </top>
      <bottom/>
      <diagonal/>
    </border>
    <border>
      <left/>
      <right style="thin">
        <color theme="3"/>
      </right>
      <top style="thin">
        <color theme="3"/>
      </top>
      <bottom/>
      <diagonal/>
    </border>
    <border>
      <left style="thin">
        <color theme="3"/>
      </left>
      <right style="medium">
        <color indexed="64"/>
      </right>
      <top style="thin">
        <color theme="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theme="3"/>
      </top>
      <bottom style="thin">
        <color theme="3"/>
      </bottom>
      <diagonal/>
    </border>
    <border>
      <left style="medium">
        <color indexed="64"/>
      </left>
      <right style="medium">
        <color indexed="64"/>
      </right>
      <top/>
      <bottom style="thin">
        <color theme="3"/>
      </bottom>
      <diagonal/>
    </border>
    <border>
      <left style="medium">
        <color indexed="64"/>
      </left>
      <right style="medium">
        <color indexed="64"/>
      </right>
      <top style="thin">
        <color theme="3"/>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theme="3"/>
      </top>
      <bottom style="thin">
        <color theme="3"/>
      </bottom>
      <diagonal/>
    </border>
    <border>
      <left style="medium">
        <color indexed="64"/>
      </left>
      <right/>
      <top style="thin">
        <color theme="3"/>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thin">
        <color theme="3"/>
      </right>
      <top style="medium">
        <color indexed="64"/>
      </top>
      <bottom style="medium">
        <color indexed="64"/>
      </bottom>
      <diagonal/>
    </border>
    <border>
      <left style="thin">
        <color theme="3"/>
      </left>
      <right style="thin">
        <color theme="3"/>
      </right>
      <top style="medium">
        <color indexed="64"/>
      </top>
      <bottom style="medium">
        <color indexed="64"/>
      </bottom>
      <diagonal/>
    </border>
    <border>
      <left style="thin">
        <color theme="3"/>
      </left>
      <right style="medium">
        <color indexed="64"/>
      </right>
      <top style="medium">
        <color indexed="64"/>
      </top>
      <bottom style="medium">
        <color indexed="64"/>
      </bottom>
      <diagonal/>
    </border>
    <border>
      <left style="medium">
        <color indexed="64"/>
      </left>
      <right/>
      <top/>
      <bottom style="thin">
        <color theme="3"/>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theme="3"/>
      </left>
      <right/>
      <top/>
      <bottom style="thin">
        <color theme="3"/>
      </bottom>
      <diagonal/>
    </border>
    <border>
      <left style="thin">
        <color indexed="64"/>
      </left>
      <right/>
      <top/>
      <bottom style="medium">
        <color indexed="64"/>
      </bottom>
      <diagonal/>
    </border>
    <border>
      <left style="medium">
        <color indexed="64"/>
      </left>
      <right style="thin">
        <color theme="3"/>
      </right>
      <top style="medium">
        <color indexed="64"/>
      </top>
      <bottom style="medium">
        <color indexed="64"/>
      </bottom>
      <diagonal/>
    </border>
    <border>
      <left style="medium">
        <color indexed="64"/>
      </left>
      <right style="thin">
        <color theme="3"/>
      </right>
      <top/>
      <bottom style="thin">
        <color theme="3"/>
      </bottom>
      <diagonal/>
    </border>
    <border>
      <left/>
      <right style="medium">
        <color indexed="64"/>
      </right>
      <top/>
      <bottom style="thin">
        <color theme="3"/>
      </bottom>
      <diagonal/>
    </border>
    <border>
      <left style="medium">
        <color indexed="64"/>
      </left>
      <right style="thin">
        <color theme="3"/>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right style="medium">
        <color rgb="FF000000"/>
      </right>
      <top style="medium">
        <color indexed="64"/>
      </top>
      <bottom style="medium">
        <color indexed="64"/>
      </bottom>
      <diagonal/>
    </border>
    <border>
      <left style="medium">
        <color rgb="FF000000"/>
      </left>
      <right/>
      <top/>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medium">
        <color indexed="64"/>
      </right>
      <top/>
      <bottom style="medium">
        <color indexed="64"/>
      </bottom>
      <diagonal/>
    </border>
    <border>
      <left style="medium">
        <color rgb="FF000000"/>
      </left>
      <right/>
      <top style="medium">
        <color indexed="64"/>
      </top>
      <bottom style="medium">
        <color indexed="64"/>
      </bottom>
      <diagonal/>
    </border>
    <border>
      <left style="medium">
        <color rgb="FF000000"/>
      </left>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3">
    <xf numFmtId="0" fontId="0" fillId="0" borderId="0"/>
    <xf numFmtId="168" fontId="17" fillId="0" borderId="43" applyFill="0">
      <alignment horizontal="center" vertical="center"/>
    </xf>
    <xf numFmtId="0" fontId="8" fillId="0" borderId="0" applyNumberFormat="0" applyFill="0" applyBorder="0" applyAlignment="0" applyProtection="0">
      <alignment vertical="top"/>
      <protection locked="0"/>
    </xf>
    <xf numFmtId="165" fontId="17" fillId="0" borderId="35">
      <alignment horizontal="center" vertical="center"/>
    </xf>
    <xf numFmtId="164" fontId="3" fillId="0" borderId="0" applyFont="0" applyFill="0" applyBorder="0" applyAlignment="0" applyProtection="0"/>
    <xf numFmtId="0" fontId="17" fillId="0" borderId="43" applyFill="0">
      <alignment horizontal="center" vertical="center"/>
    </xf>
    <xf numFmtId="9" fontId="3" fillId="0" borderId="0" applyFont="0" applyFill="0" applyBorder="0" applyAlignment="0" applyProtection="0"/>
    <xf numFmtId="0" fontId="17" fillId="0" borderId="43" applyFill="0">
      <alignment horizontal="left" vertical="center" indent="2"/>
    </xf>
    <xf numFmtId="0" fontId="19" fillId="0" borderId="0" applyNumberFormat="0" applyFill="0" applyBorder="0" applyAlignment="0" applyProtection="0"/>
    <xf numFmtId="0" fontId="20" fillId="0" borderId="21" applyNumberFormat="0" applyFill="0" applyAlignment="0" applyProtection="0"/>
    <xf numFmtId="0" fontId="21" fillId="0" borderId="22" applyNumberFormat="0" applyFill="0" applyAlignment="0" applyProtection="0"/>
    <xf numFmtId="0" fontId="18" fillId="0" borderId="0"/>
    <xf numFmtId="0" fontId="3" fillId="0" borderId="0"/>
    <xf numFmtId="0" fontId="19" fillId="0" borderId="0" applyNumberFormat="0" applyFill="0" applyBorder="0" applyAlignment="0" applyProtection="0"/>
    <xf numFmtId="0" fontId="48" fillId="0" borderId="0" applyNumberFormat="0" applyFill="0" applyBorder="0" applyAlignment="0" applyProtection="0"/>
    <xf numFmtId="0" fontId="18" fillId="24" borderId="0" applyNumberFormat="0" applyBorder="0" applyAlignment="0" applyProtection="0"/>
    <xf numFmtId="0" fontId="31" fillId="0" borderId="0"/>
    <xf numFmtId="0" fontId="18" fillId="25" borderId="0" applyNumberFormat="0" applyBorder="0" applyAlignment="0" applyProtection="0"/>
    <xf numFmtId="0" fontId="49" fillId="23" borderId="0" applyNumberFormat="0" applyBorder="0" applyAlignment="0" applyProtection="0"/>
    <xf numFmtId="0" fontId="2" fillId="0" borderId="0"/>
    <xf numFmtId="9" fontId="50" fillId="0" borderId="0" applyFont="0" applyFill="0" applyBorder="0" applyAlignment="0" applyProtection="0"/>
    <xf numFmtId="0" fontId="1" fillId="0" borderId="0"/>
    <xf numFmtId="9" fontId="63" fillId="0" borderId="0" applyFont="0" applyFill="0" applyBorder="0" applyAlignment="0" applyProtection="0"/>
  </cellStyleXfs>
  <cellXfs count="733">
    <xf numFmtId="0" fontId="0" fillId="0" borderId="0" xfId="0"/>
    <xf numFmtId="0" fontId="0" fillId="0" borderId="0" xfId="0" applyAlignment="1">
      <alignment horizontal="center"/>
    </xf>
    <xf numFmtId="0" fontId="7" fillId="0" borderId="0" xfId="0" applyFont="1"/>
    <xf numFmtId="0" fontId="0" fillId="0" borderId="0" xfId="0" applyAlignment="1">
      <alignment horizontal="left"/>
    </xf>
    <xf numFmtId="0" fontId="9" fillId="0" borderId="0" xfId="0" applyFont="1"/>
    <xf numFmtId="0" fontId="5" fillId="0" borderId="1" xfId="0" applyFont="1" applyBorder="1" applyAlignment="1">
      <alignment horizontal="left" vertical="top" wrapText="1"/>
    </xf>
    <xf numFmtId="0" fontId="5" fillId="0" borderId="2" xfId="0" applyFont="1" applyBorder="1" applyAlignment="1">
      <alignment horizontal="left" vertical="top" wrapText="1" indent="2"/>
    </xf>
    <xf numFmtId="0" fontId="10" fillId="0" borderId="0" xfId="0" applyFont="1"/>
    <xf numFmtId="0" fontId="6" fillId="0" borderId="0" xfId="0" applyFont="1" applyAlignment="1">
      <alignment vertical="center"/>
    </xf>
    <xf numFmtId="0" fontId="5" fillId="0" borderId="1" xfId="0" applyFont="1" applyBorder="1" applyAlignment="1">
      <alignment horizontal="left" vertical="center" wrapText="1"/>
    </xf>
    <xf numFmtId="0" fontId="10" fillId="0" borderId="0" xfId="0" applyFont="1" applyAlignment="1">
      <alignment vertical="center"/>
    </xf>
    <xf numFmtId="0" fontId="5" fillId="0" borderId="2" xfId="0" applyFont="1" applyBorder="1" applyAlignment="1">
      <alignment horizontal="left" vertical="center" wrapText="1" indent="2"/>
    </xf>
    <xf numFmtId="0" fontId="11" fillId="2" borderId="3" xfId="0" applyFont="1" applyFill="1" applyBorder="1" applyAlignment="1">
      <alignment horizontal="left" vertical="center" wrapText="1" indent="2"/>
    </xf>
    <xf numFmtId="0" fontId="11" fillId="2" borderId="4" xfId="0" applyFont="1" applyFill="1" applyBorder="1" applyAlignment="1">
      <alignment horizontal="left" vertical="center" wrapText="1"/>
    </xf>
    <xf numFmtId="0" fontId="0" fillId="0" borderId="0" xfId="0" applyAlignment="1">
      <alignment vertical="center"/>
    </xf>
    <xf numFmtId="0" fontId="7" fillId="0" borderId="5" xfId="0" applyFont="1" applyBorder="1"/>
    <xf numFmtId="0" fontId="7" fillId="0" borderId="6" xfId="0" applyFont="1" applyBorder="1"/>
    <xf numFmtId="0" fontId="11" fillId="3" borderId="7"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0" fillId="0" borderId="5" xfId="0" applyBorder="1"/>
    <xf numFmtId="0" fontId="6" fillId="0" borderId="0" xfId="0" applyFont="1"/>
    <xf numFmtId="0" fontId="14" fillId="0" borderId="0" xfId="0" applyFont="1"/>
    <xf numFmtId="0" fontId="23" fillId="0" borderId="0" xfId="0" applyFont="1" applyAlignment="1">
      <alignment horizontal="center" vertical="center"/>
    </xf>
    <xf numFmtId="0" fontId="24" fillId="0" borderId="0" xfId="0" applyFont="1" applyAlignment="1">
      <alignment horizontal="center"/>
    </xf>
    <xf numFmtId="0" fontId="24" fillId="0" borderId="0" xfId="0" applyFont="1"/>
    <xf numFmtId="0" fontId="15" fillId="0" borderId="0" xfId="0" applyFont="1"/>
    <xf numFmtId="0" fontId="0" fillId="0" borderId="27" xfId="0" applyBorder="1"/>
    <xf numFmtId="0" fontId="0" fillId="0" borderId="28" xfId="0" applyBorder="1"/>
    <xf numFmtId="0" fontId="0" fillId="0" borderId="27" xfId="0" pivotButton="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18" fillId="0" borderId="0" xfId="11" applyAlignment="1">
      <alignment wrapText="1"/>
    </xf>
    <xf numFmtId="0" fontId="19" fillId="0" borderId="0" xfId="8" applyAlignment="1">
      <alignment horizontal="left"/>
    </xf>
    <xf numFmtId="0" fontId="26" fillId="0" borderId="0" xfId="0" applyFont="1" applyAlignment="1">
      <alignment horizontal="left"/>
    </xf>
    <xf numFmtId="0" fontId="27" fillId="0" borderId="0" xfId="0" applyFont="1"/>
    <xf numFmtId="0" fontId="27" fillId="0" borderId="0" xfId="0" applyFont="1" applyAlignment="1">
      <alignment horizontal="center"/>
    </xf>
    <xf numFmtId="0" fontId="18" fillId="0" borderId="0" xfId="11"/>
    <xf numFmtId="0" fontId="0" fillId="0" borderId="35" xfId="0" applyBorder="1" applyAlignment="1">
      <alignment horizontal="center" vertical="center"/>
    </xf>
    <xf numFmtId="0" fontId="0" fillId="0" borderId="39" xfId="0" applyBorder="1"/>
    <xf numFmtId="167" fontId="28" fillId="8" borderId="40" xfId="0" applyNumberFormat="1" applyFont="1" applyFill="1" applyBorder="1" applyAlignment="1">
      <alignment horizontal="center" vertical="center"/>
    </xf>
    <xf numFmtId="167" fontId="28" fillId="8" borderId="0" xfId="0" applyNumberFormat="1" applyFont="1" applyFill="1" applyAlignment="1">
      <alignment horizontal="center" vertical="center"/>
    </xf>
    <xf numFmtId="167" fontId="28" fillId="8" borderId="34" xfId="0" applyNumberFormat="1" applyFont="1" applyFill="1" applyBorder="1" applyAlignment="1">
      <alignment horizontal="center" vertical="center"/>
    </xf>
    <xf numFmtId="0" fontId="29" fillId="9" borderId="37" xfId="0" applyFont="1" applyFill="1" applyBorder="1" applyAlignment="1">
      <alignment horizontal="left" vertical="center" indent="1"/>
    </xf>
    <xf numFmtId="0" fontId="29" fillId="9" borderId="37" xfId="0" applyFont="1" applyFill="1" applyBorder="1" applyAlignment="1">
      <alignment horizontal="center" vertical="center" wrapText="1"/>
    </xf>
    <xf numFmtId="0" fontId="30" fillId="10" borderId="41" xfId="0" applyFont="1" applyFill="1" applyBorder="1" applyAlignment="1">
      <alignment horizontal="center" vertical="center" shrinkToFit="1"/>
    </xf>
    <xf numFmtId="0" fontId="0" fillId="0" borderId="0" xfId="0" applyAlignment="1">
      <alignment wrapText="1"/>
    </xf>
    <xf numFmtId="0" fontId="0" fillId="0" borderId="42" xfId="0" applyBorder="1" applyAlignment="1">
      <alignment vertical="center"/>
    </xf>
    <xf numFmtId="0" fontId="22" fillId="11" borderId="43" xfId="0" applyFont="1" applyFill="1" applyBorder="1" applyAlignment="1">
      <alignment horizontal="left" vertical="center" indent="1"/>
    </xf>
    <xf numFmtId="0" fontId="17" fillId="11" borderId="43" xfId="5" applyFill="1">
      <alignment horizontal="center" vertical="center"/>
    </xf>
    <xf numFmtId="9" fontId="31" fillId="11" borderId="43" xfId="6" applyFont="1" applyFill="1" applyBorder="1" applyAlignment="1">
      <alignment horizontal="center" vertical="center"/>
    </xf>
    <xf numFmtId="168" fontId="0" fillId="11" borderId="43" xfId="0" applyNumberFormat="1" applyFill="1" applyBorder="1" applyAlignment="1">
      <alignment horizontal="center" vertical="center"/>
    </xf>
    <xf numFmtId="168" fontId="31" fillId="11" borderId="43" xfId="0" applyNumberFormat="1" applyFont="1" applyFill="1" applyBorder="1" applyAlignment="1">
      <alignment horizontal="center" vertical="center"/>
    </xf>
    <xf numFmtId="0" fontId="31" fillId="0" borderId="43" xfId="0" applyFont="1" applyBorder="1" applyAlignment="1">
      <alignment horizontal="center" vertical="center"/>
    </xf>
    <xf numFmtId="0" fontId="17" fillId="12" borderId="43" xfId="7" applyFill="1">
      <alignment horizontal="left" vertical="center" indent="2"/>
    </xf>
    <xf numFmtId="0" fontId="17" fillId="12" borderId="43" xfId="5" applyFill="1">
      <alignment horizontal="center" vertical="center"/>
    </xf>
    <xf numFmtId="9" fontId="31" fillId="12" borderId="43" xfId="6" applyFont="1" applyFill="1" applyBorder="1" applyAlignment="1">
      <alignment horizontal="center" vertical="center"/>
    </xf>
    <xf numFmtId="168" fontId="17" fillId="12" borderId="43" xfId="1" applyFill="1">
      <alignment horizontal="center" vertical="center"/>
    </xf>
    <xf numFmtId="0" fontId="0" fillId="0" borderId="42" xfId="0" applyBorder="1" applyAlignment="1">
      <alignment horizontal="right" vertical="center"/>
    </xf>
    <xf numFmtId="0" fontId="22" fillId="13" borderId="43" xfId="0" applyFont="1" applyFill="1" applyBorder="1" applyAlignment="1">
      <alignment horizontal="left" vertical="center" indent="1"/>
    </xf>
    <xf numFmtId="0" fontId="17" fillId="13" borderId="43" xfId="5" applyFill="1">
      <alignment horizontal="center" vertical="center"/>
    </xf>
    <xf numFmtId="9" fontId="31" fillId="13" borderId="43" xfId="6" applyFont="1" applyFill="1" applyBorder="1" applyAlignment="1">
      <alignment horizontal="center" vertical="center"/>
    </xf>
    <xf numFmtId="168" fontId="0" fillId="13" borderId="43" xfId="0" applyNumberFormat="1" applyFill="1" applyBorder="1" applyAlignment="1">
      <alignment horizontal="center" vertical="center"/>
    </xf>
    <xf numFmtId="168" fontId="31" fillId="13" borderId="43" xfId="0" applyNumberFormat="1" applyFont="1" applyFill="1" applyBorder="1" applyAlignment="1">
      <alignment horizontal="center" vertical="center"/>
    </xf>
    <xf numFmtId="0" fontId="17" fillId="14" borderId="43" xfId="7" applyFill="1">
      <alignment horizontal="left" vertical="center" indent="2"/>
    </xf>
    <xf numFmtId="0" fontId="17" fillId="14" borderId="43" xfId="5" applyFill="1">
      <alignment horizontal="center" vertical="center"/>
    </xf>
    <xf numFmtId="9" fontId="31" fillId="14" borderId="43" xfId="6" applyFont="1" applyFill="1" applyBorder="1" applyAlignment="1">
      <alignment horizontal="center" vertical="center"/>
    </xf>
    <xf numFmtId="168" fontId="17" fillId="14" borderId="43" xfId="1" applyFill="1">
      <alignment horizontal="center" vertical="center"/>
    </xf>
    <xf numFmtId="0" fontId="22" fillId="15" borderId="43" xfId="0" applyFont="1" applyFill="1" applyBorder="1" applyAlignment="1">
      <alignment horizontal="left" vertical="center" indent="1"/>
    </xf>
    <xf numFmtId="0" fontId="17" fillId="15" borderId="43" xfId="5" applyFill="1">
      <alignment horizontal="center" vertical="center"/>
    </xf>
    <xf numFmtId="9" fontId="31" fillId="15" borderId="43" xfId="6" applyFont="1" applyFill="1" applyBorder="1" applyAlignment="1">
      <alignment horizontal="center" vertical="center"/>
    </xf>
    <xf numFmtId="168" fontId="0" fillId="15" borderId="43" xfId="0" applyNumberFormat="1" applyFill="1" applyBorder="1" applyAlignment="1">
      <alignment horizontal="center" vertical="center"/>
    </xf>
    <xf numFmtId="168" fontId="31" fillId="15" borderId="43" xfId="0" applyNumberFormat="1" applyFont="1" applyFill="1" applyBorder="1" applyAlignment="1">
      <alignment horizontal="center" vertical="center"/>
    </xf>
    <xf numFmtId="0" fontId="17" fillId="16" borderId="43" xfId="7" applyFill="1">
      <alignment horizontal="left" vertical="center" indent="2"/>
    </xf>
    <xf numFmtId="0" fontId="17" fillId="16" borderId="43" xfId="5" applyFill="1">
      <alignment horizontal="center" vertical="center"/>
    </xf>
    <xf numFmtId="9" fontId="31" fillId="16" borderId="43" xfId="6" applyFont="1" applyFill="1" applyBorder="1" applyAlignment="1">
      <alignment horizontal="center" vertical="center"/>
    </xf>
    <xf numFmtId="168" fontId="17" fillId="16" borderId="43" xfId="1" applyFill="1">
      <alignment horizontal="center" vertical="center"/>
    </xf>
    <xf numFmtId="0" fontId="22" fillId="17" borderId="43" xfId="0" applyFont="1" applyFill="1" applyBorder="1" applyAlignment="1">
      <alignment horizontal="left" vertical="center" indent="1"/>
    </xf>
    <xf numFmtId="0" fontId="17" fillId="17" borderId="43" xfId="5" applyFill="1">
      <alignment horizontal="center" vertical="center"/>
    </xf>
    <xf numFmtId="9" fontId="31" fillId="17" borderId="43" xfId="6" applyFont="1" applyFill="1" applyBorder="1" applyAlignment="1">
      <alignment horizontal="center" vertical="center"/>
    </xf>
    <xf numFmtId="168" fontId="0" fillId="17" borderId="43" xfId="0" applyNumberFormat="1" applyFill="1" applyBorder="1" applyAlignment="1">
      <alignment horizontal="center" vertical="center"/>
    </xf>
    <xf numFmtId="168" fontId="31" fillId="17" borderId="43" xfId="0" applyNumberFormat="1" applyFont="1" applyFill="1" applyBorder="1" applyAlignment="1">
      <alignment horizontal="center" vertical="center"/>
    </xf>
    <xf numFmtId="0" fontId="17" fillId="18" borderId="43" xfId="7" applyFill="1">
      <alignment horizontal="left" vertical="center" indent="2"/>
    </xf>
    <xf numFmtId="0" fontId="17" fillId="18" borderId="43" xfId="5" applyFill="1">
      <alignment horizontal="center" vertical="center"/>
    </xf>
    <xf numFmtId="9" fontId="31" fillId="18" borderId="43" xfId="6" applyFont="1" applyFill="1" applyBorder="1" applyAlignment="1">
      <alignment horizontal="center" vertical="center"/>
    </xf>
    <xf numFmtId="168" fontId="17" fillId="18" borderId="43" xfId="1" applyFill="1">
      <alignment horizontal="center" vertical="center"/>
    </xf>
    <xf numFmtId="0" fontId="17" fillId="0" borderId="43" xfId="7">
      <alignment horizontal="left" vertical="center" indent="2"/>
    </xf>
    <xf numFmtId="0" fontId="17" fillId="0" borderId="43" xfId="5">
      <alignment horizontal="center" vertical="center"/>
    </xf>
    <xf numFmtId="9" fontId="31" fillId="0" borderId="43" xfId="6" applyFont="1" applyBorder="1" applyAlignment="1">
      <alignment horizontal="center" vertical="center"/>
    </xf>
    <xf numFmtId="168" fontId="17" fillId="0" borderId="43" xfId="1">
      <alignment horizontal="center" vertical="center"/>
    </xf>
    <xf numFmtId="0" fontId="32" fillId="19" borderId="43" xfId="0" applyFont="1" applyFill="1" applyBorder="1" applyAlignment="1">
      <alignment horizontal="left" vertical="center" indent="1"/>
    </xf>
    <xf numFmtId="0" fontId="32" fillId="19" borderId="43" xfId="0" applyFont="1" applyFill="1" applyBorder="1" applyAlignment="1">
      <alignment horizontal="center" vertical="center"/>
    </xf>
    <xf numFmtId="9" fontId="31" fillId="19" borderId="43" xfId="6" applyFont="1" applyFill="1" applyBorder="1" applyAlignment="1">
      <alignment horizontal="center" vertical="center"/>
    </xf>
    <xf numFmtId="168" fontId="33" fillId="19" borderId="43" xfId="0" applyNumberFormat="1" applyFont="1" applyFill="1" applyBorder="1" applyAlignment="1">
      <alignment horizontal="left" vertical="center"/>
    </xf>
    <xf numFmtId="168" fontId="31" fillId="19" borderId="43" xfId="0" applyNumberFormat="1" applyFont="1" applyFill="1" applyBorder="1" applyAlignment="1">
      <alignment horizontal="center" vertical="center"/>
    </xf>
    <xf numFmtId="0" fontId="31" fillId="19" borderId="43" xfId="0" applyFont="1" applyFill="1" applyBorder="1" applyAlignment="1">
      <alignment horizontal="center" vertical="center"/>
    </xf>
    <xf numFmtId="0" fontId="0" fillId="19" borderId="42" xfId="0" applyFill="1" applyBorder="1" applyAlignment="1">
      <alignment vertical="center"/>
    </xf>
    <xf numFmtId="0" fontId="0" fillId="0" borderId="0" xfId="0" applyAlignment="1">
      <alignment horizontal="right" vertical="center"/>
    </xf>
    <xf numFmtId="0" fontId="34" fillId="0" borderId="0" xfId="0" applyFont="1"/>
    <xf numFmtId="0" fontId="18" fillId="0" borderId="0" xfId="0" applyFont="1" applyAlignment="1">
      <alignment horizontal="center"/>
    </xf>
    <xf numFmtId="0" fontId="35" fillId="0" borderId="0" xfId="2" applyFont="1" applyAlignment="1" applyProtection="1"/>
    <xf numFmtId="0" fontId="20" fillId="0" borderId="21" xfId="9" applyAlignment="1">
      <alignment vertical="top" wrapText="1"/>
    </xf>
    <xf numFmtId="0" fontId="14" fillId="0" borderId="23" xfId="0" applyFont="1" applyBorder="1" applyAlignment="1">
      <alignment horizontal="center" vertical="top" wrapText="1"/>
    </xf>
    <xf numFmtId="0" fontId="7" fillId="0" borderId="0" xfId="0" applyFont="1" applyAlignment="1">
      <alignment horizontal="center"/>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44" xfId="0" applyFont="1" applyBorder="1" applyAlignment="1">
      <alignment horizontal="center" vertical="top" wrapText="1"/>
    </xf>
    <xf numFmtId="164" fontId="14" fillId="0" borderId="23" xfId="4" applyFont="1" applyFill="1" applyBorder="1" applyAlignment="1">
      <alignment vertical="center" wrapText="1"/>
    </xf>
    <xf numFmtId="0" fontId="14" fillId="0" borderId="44"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26"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3"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4" xfId="0" applyFont="1" applyBorder="1" applyAlignment="1">
      <alignment horizontal="center" vertical="top" wrapText="1"/>
    </xf>
    <xf numFmtId="164" fontId="14" fillId="0" borderId="24" xfId="4" applyFont="1" applyFill="1" applyBorder="1" applyAlignment="1">
      <alignment vertical="center" wrapText="1"/>
    </xf>
    <xf numFmtId="0" fontId="6" fillId="5" borderId="7" xfId="0" applyFont="1" applyFill="1" applyBorder="1" applyAlignment="1">
      <alignment vertical="center"/>
    </xf>
    <xf numFmtId="0" fontId="15" fillId="0" borderId="26" xfId="0" applyFont="1" applyBorder="1" applyAlignment="1">
      <alignment horizontal="center" vertical="center" wrapText="1"/>
    </xf>
    <xf numFmtId="0" fontId="14" fillId="0" borderId="52" xfId="0" applyFont="1" applyBorder="1" applyAlignment="1">
      <alignment horizontal="center" vertical="center" wrapText="1"/>
    </xf>
    <xf numFmtId="164" fontId="14" fillId="0" borderId="1" xfId="4" applyFont="1" applyFill="1" applyBorder="1" applyAlignment="1">
      <alignment vertical="center" wrapText="1"/>
    </xf>
    <xf numFmtId="0" fontId="14" fillId="0" borderId="60" xfId="0" applyFont="1" applyBorder="1" applyAlignment="1">
      <alignment horizontal="center" vertical="center" wrapText="1"/>
    </xf>
    <xf numFmtId="14" fontId="14" fillId="0" borderId="26" xfId="0" applyNumberFormat="1" applyFont="1" applyBorder="1" applyAlignment="1">
      <alignment horizontal="center" vertical="center" wrapText="1"/>
    </xf>
    <xf numFmtId="0" fontId="14" fillId="0" borderId="26" xfId="0" applyFont="1" applyBorder="1" applyAlignment="1">
      <alignment horizontal="center" vertical="top" wrapText="1"/>
    </xf>
    <xf numFmtId="164" fontId="14" fillId="0" borderId="26" xfId="4" applyFont="1" applyFill="1" applyBorder="1" applyAlignment="1">
      <alignment vertical="center" wrapText="1"/>
    </xf>
    <xf numFmtId="0" fontId="37" fillId="0" borderId="46" xfId="0" applyFont="1" applyBorder="1" applyAlignment="1">
      <alignment horizontal="left" vertical="center" wrapText="1"/>
    </xf>
    <xf numFmtId="0" fontId="37" fillId="0" borderId="45" xfId="0" applyFont="1" applyBorder="1" applyAlignment="1">
      <alignment horizontal="left" vertical="center" wrapText="1"/>
    </xf>
    <xf numFmtId="0" fontId="14" fillId="0" borderId="45" xfId="0" applyFont="1" applyBorder="1" applyAlignment="1">
      <alignment horizontal="left" vertical="top" wrapText="1"/>
    </xf>
    <xf numFmtId="0" fontId="3" fillId="0" borderId="54" xfId="0" applyFont="1" applyBorder="1"/>
    <xf numFmtId="0" fontId="3" fillId="0" borderId="1" xfId="0" applyFont="1" applyBorder="1"/>
    <xf numFmtId="0" fontId="39" fillId="0" borderId="63" xfId="0" applyFont="1" applyBorder="1" applyAlignment="1">
      <alignment vertical="center"/>
    </xf>
    <xf numFmtId="0" fontId="3" fillId="0" borderId="65" xfId="0" applyFont="1" applyBorder="1"/>
    <xf numFmtId="164" fontId="14" fillId="0" borderId="52" xfId="4" applyFont="1" applyFill="1" applyBorder="1" applyAlignment="1">
      <alignment vertical="center" wrapText="1"/>
    </xf>
    <xf numFmtId="0" fontId="3" fillId="0" borderId="68" xfId="0" applyFont="1" applyBorder="1"/>
    <xf numFmtId="0" fontId="6" fillId="5" borderId="69" xfId="0" applyFont="1" applyFill="1" applyBorder="1" applyAlignment="1">
      <alignment vertical="center"/>
    </xf>
    <xf numFmtId="0" fontId="36" fillId="5" borderId="7" xfId="0" applyFont="1" applyFill="1" applyBorder="1" applyAlignment="1">
      <alignment horizontal="center" vertical="center" wrapText="1"/>
    </xf>
    <xf numFmtId="0" fontId="36" fillId="5" borderId="16" xfId="0" applyFont="1" applyFill="1" applyBorder="1" applyAlignment="1">
      <alignment horizontal="center" vertical="center" wrapText="1"/>
    </xf>
    <xf numFmtId="0" fontId="36" fillId="5" borderId="56" xfId="0" applyFont="1" applyFill="1" applyBorder="1" applyAlignment="1">
      <alignment horizontal="center" vertical="center" wrapText="1"/>
    </xf>
    <xf numFmtId="0" fontId="36" fillId="5" borderId="70" xfId="0" applyFont="1" applyFill="1" applyBorder="1" applyAlignment="1">
      <alignment horizontal="center" vertical="center" wrapText="1"/>
    </xf>
    <xf numFmtId="0" fontId="36" fillId="5" borderId="71" xfId="0" applyFont="1" applyFill="1" applyBorder="1" applyAlignment="1">
      <alignment horizontal="center" vertical="center" wrapText="1"/>
    </xf>
    <xf numFmtId="0" fontId="36" fillId="5" borderId="72" xfId="0" applyFont="1" applyFill="1" applyBorder="1" applyAlignment="1">
      <alignment horizontal="center" vertical="center" wrapText="1"/>
    </xf>
    <xf numFmtId="0" fontId="36" fillId="5" borderId="16" xfId="0" applyFont="1" applyFill="1" applyBorder="1" applyAlignment="1">
      <alignment horizontal="left" vertical="center" wrapText="1"/>
    </xf>
    <xf numFmtId="0" fontId="36" fillId="5" borderId="72" xfId="0" applyFont="1" applyFill="1" applyBorder="1" applyAlignment="1">
      <alignment horizontal="left" vertical="center" wrapText="1"/>
    </xf>
    <xf numFmtId="0" fontId="14" fillId="0" borderId="53" xfId="0" applyFont="1" applyBorder="1" applyAlignment="1">
      <alignment horizontal="center" vertical="top" wrapText="1"/>
    </xf>
    <xf numFmtId="0" fontId="14" fillId="0" borderId="54" xfId="0" applyFont="1" applyBorder="1" applyAlignment="1">
      <alignment horizontal="left" vertical="top" wrapText="1"/>
    </xf>
    <xf numFmtId="0" fontId="14" fillId="0" borderId="51" xfId="0" applyFont="1" applyBorder="1" applyAlignment="1">
      <alignment horizontal="center" vertical="top" wrapText="1"/>
    </xf>
    <xf numFmtId="0" fontId="14" fillId="0" borderId="46" xfId="0" applyFont="1" applyBorder="1" applyAlignment="1">
      <alignment horizontal="left" vertical="top" wrapText="1"/>
    </xf>
    <xf numFmtId="0" fontId="37" fillId="5" borderId="7" xfId="0" applyFont="1" applyFill="1" applyBorder="1" applyAlignment="1">
      <alignment horizontal="center" vertical="center" wrapText="1"/>
    </xf>
    <xf numFmtId="0" fontId="37" fillId="5" borderId="69" xfId="0" applyFont="1" applyFill="1" applyBorder="1" applyAlignment="1">
      <alignment horizontal="left" vertical="center" wrapText="1"/>
    </xf>
    <xf numFmtId="0" fontId="37" fillId="5" borderId="56" xfId="0" applyFont="1" applyFill="1" applyBorder="1" applyAlignment="1">
      <alignment horizontal="center" vertical="center" wrapText="1"/>
    </xf>
    <xf numFmtId="0" fontId="37" fillId="5" borderId="70" xfId="0" applyFont="1" applyFill="1" applyBorder="1" applyAlignment="1">
      <alignment horizontal="center" vertical="center" wrapText="1"/>
    </xf>
    <xf numFmtId="0" fontId="37" fillId="5" borderId="71" xfId="0" applyFont="1" applyFill="1" applyBorder="1" applyAlignment="1">
      <alignment horizontal="center" vertical="center" wrapText="1"/>
    </xf>
    <xf numFmtId="0" fontId="37" fillId="5" borderId="72" xfId="0" applyFont="1" applyFill="1" applyBorder="1" applyAlignment="1">
      <alignment horizontal="left" vertical="center" wrapText="1"/>
    </xf>
    <xf numFmtId="0" fontId="3" fillId="0" borderId="24" xfId="0" applyFont="1" applyBorder="1" applyAlignment="1">
      <alignment horizontal="center" vertical="center" wrapText="1"/>
    </xf>
    <xf numFmtId="0" fontId="37" fillId="0" borderId="54" xfId="0" applyFont="1" applyBorder="1" applyAlignment="1">
      <alignment horizontal="left" vertical="center" wrapText="1"/>
    </xf>
    <xf numFmtId="0" fontId="15" fillId="0" borderId="25" xfId="0" applyFont="1" applyBorder="1" applyAlignment="1">
      <alignment horizontal="center" vertical="center" wrapText="1"/>
    </xf>
    <xf numFmtId="0" fontId="37" fillId="5" borderId="74" xfId="0" applyFont="1" applyFill="1" applyBorder="1" applyAlignment="1">
      <alignment horizontal="center" vertical="center" wrapText="1"/>
    </xf>
    <xf numFmtId="0" fontId="37" fillId="5" borderId="75" xfId="0" applyFont="1" applyFill="1" applyBorder="1" applyAlignment="1">
      <alignment horizontal="center" vertical="center" wrapText="1"/>
    </xf>
    <xf numFmtId="0" fontId="37" fillId="5" borderId="76" xfId="0" applyFont="1" applyFill="1" applyBorder="1" applyAlignment="1">
      <alignment horizontal="left" vertical="center" wrapText="1"/>
    </xf>
    <xf numFmtId="0" fontId="3" fillId="0" borderId="26" xfId="0" applyFont="1" applyBorder="1" applyAlignment="1">
      <alignment horizontal="center" vertical="top" wrapText="1"/>
    </xf>
    <xf numFmtId="0" fontId="3" fillId="0" borderId="25" xfId="0" applyFont="1" applyBorder="1" applyAlignment="1">
      <alignment horizontal="center" vertical="center" wrapText="1"/>
    </xf>
    <xf numFmtId="0" fontId="14" fillId="5" borderId="70" xfId="0" applyFont="1" applyFill="1" applyBorder="1" applyAlignment="1">
      <alignment horizontal="center" vertical="center" wrapText="1"/>
    </xf>
    <xf numFmtId="0" fontId="14" fillId="0" borderId="79" xfId="0" applyFont="1" applyBorder="1" applyAlignment="1">
      <alignment horizontal="center" vertical="center" wrapText="1"/>
    </xf>
    <xf numFmtId="164" fontId="14" fillId="0" borderId="60" xfId="4" applyFont="1" applyFill="1" applyBorder="1" applyAlignment="1">
      <alignment vertical="center" wrapText="1"/>
    </xf>
    <xf numFmtId="0" fontId="3" fillId="0" borderId="80" xfId="0" applyFont="1" applyBorder="1"/>
    <xf numFmtId="0" fontId="14" fillId="5" borderId="81" xfId="0" applyFont="1" applyFill="1" applyBorder="1" applyAlignment="1">
      <alignment horizontal="center" vertical="center" wrapText="1"/>
    </xf>
    <xf numFmtId="0" fontId="14" fillId="5" borderId="56" xfId="0" applyFont="1" applyFill="1" applyBorder="1" applyAlignment="1">
      <alignment horizontal="center" vertical="center" wrapText="1"/>
    </xf>
    <xf numFmtId="0" fontId="3" fillId="5" borderId="82" xfId="0" applyFont="1" applyFill="1" applyBorder="1"/>
    <xf numFmtId="0" fontId="0" fillId="0" borderId="0" xfId="0" applyAlignment="1">
      <alignment horizontal="left" vertical="center"/>
    </xf>
    <xf numFmtId="0" fontId="39" fillId="0" borderId="73" xfId="0" applyFont="1" applyBorder="1" applyAlignment="1">
      <alignment vertical="center"/>
    </xf>
    <xf numFmtId="0" fontId="39" fillId="0" borderId="64" xfId="0" applyFont="1" applyBorder="1" applyAlignment="1">
      <alignment vertical="center"/>
    </xf>
    <xf numFmtId="0" fontId="40" fillId="0" borderId="60" xfId="0" applyFont="1" applyBorder="1" applyAlignment="1">
      <alignment horizontal="center" vertical="center" wrapText="1"/>
    </xf>
    <xf numFmtId="0" fontId="40" fillId="0" borderId="1" xfId="0" applyFont="1" applyBorder="1" applyAlignment="1">
      <alignment horizontal="center" vertical="center" wrapText="1"/>
    </xf>
    <xf numFmtId="0" fontId="14" fillId="0" borderId="58" xfId="0" applyFont="1" applyBorder="1" applyAlignment="1">
      <alignment horizontal="center" vertical="center" wrapText="1"/>
    </xf>
    <xf numFmtId="0" fontId="14" fillId="0" borderId="57" xfId="0" applyFont="1" applyBorder="1" applyAlignment="1">
      <alignment horizontal="center" vertical="center" wrapText="1"/>
    </xf>
    <xf numFmtId="0" fontId="14" fillId="0" borderId="59" xfId="0" applyFont="1" applyBorder="1" applyAlignment="1">
      <alignment horizontal="center" vertical="center" wrapText="1"/>
    </xf>
    <xf numFmtId="0" fontId="40" fillId="0" borderId="58" xfId="0" applyFont="1" applyBorder="1" applyAlignment="1">
      <alignment horizontal="center" vertical="center" wrapText="1"/>
    </xf>
    <xf numFmtId="0" fontId="40" fillId="0" borderId="57" xfId="0" applyFont="1" applyBorder="1" applyAlignment="1">
      <alignment horizontal="center" vertical="center" wrapText="1"/>
    </xf>
    <xf numFmtId="164" fontId="36" fillId="20" borderId="75" xfId="0" applyNumberFormat="1" applyFont="1" applyFill="1" applyBorder="1" applyAlignment="1">
      <alignment horizontal="center" vertical="center" wrapText="1"/>
    </xf>
    <xf numFmtId="164" fontId="37" fillId="20" borderId="71" xfId="4" applyFont="1" applyFill="1" applyBorder="1" applyAlignment="1">
      <alignment horizontal="center" vertical="center" wrapText="1"/>
    </xf>
    <xf numFmtId="164" fontId="37" fillId="20" borderId="75" xfId="4" applyFont="1" applyFill="1" applyBorder="1" applyAlignment="1">
      <alignment horizontal="center" vertical="center" wrapText="1"/>
    </xf>
    <xf numFmtId="164" fontId="14" fillId="20" borderId="56" xfId="4" applyFont="1" applyFill="1" applyBorder="1" applyAlignment="1">
      <alignment vertical="center" wrapText="1"/>
    </xf>
    <xf numFmtId="164" fontId="37" fillId="5" borderId="12" xfId="4" applyFont="1" applyFill="1" applyBorder="1" applyAlignment="1">
      <alignment vertical="center" wrapText="1"/>
    </xf>
    <xf numFmtId="164" fontId="14" fillId="20" borderId="1" xfId="4" applyFont="1" applyFill="1" applyBorder="1" applyAlignment="1">
      <alignment vertical="center" wrapText="1"/>
    </xf>
    <xf numFmtId="0" fontId="3" fillId="0" borderId="0" xfId="0" applyFont="1" applyAlignment="1">
      <alignment horizontal="left" vertical="center" wrapText="1"/>
    </xf>
    <xf numFmtId="0" fontId="37" fillId="0" borderId="0" xfId="0" applyFont="1" applyAlignment="1">
      <alignment horizontal="left" vertical="center"/>
    </xf>
    <xf numFmtId="0" fontId="41" fillId="0" borderId="0" xfId="0" applyFont="1" applyAlignment="1">
      <alignment horizontal="left" vertical="center"/>
    </xf>
    <xf numFmtId="0" fontId="16" fillId="0" borderId="1" xfId="0" applyFont="1" applyBorder="1" applyAlignment="1">
      <alignment horizontal="center" vertical="center" wrapText="1"/>
    </xf>
    <xf numFmtId="0" fontId="25" fillId="0" borderId="1" xfId="0" applyFont="1" applyBorder="1"/>
    <xf numFmtId="0" fontId="16" fillId="0" borderId="1" xfId="0" applyFont="1" applyBorder="1" applyAlignment="1">
      <alignment horizontal="center" vertical="top" wrapText="1"/>
    </xf>
    <xf numFmtId="0" fontId="15" fillId="0" borderId="1" xfId="0" applyFont="1" applyBorder="1" applyAlignment="1">
      <alignment horizontal="center" vertical="top" wrapText="1"/>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43" fillId="0" borderId="1" xfId="0" applyFont="1" applyBorder="1" applyAlignment="1">
      <alignment vertical="center"/>
    </xf>
    <xf numFmtId="0" fontId="43" fillId="0" borderId="1" xfId="0" applyFont="1" applyBorder="1" applyAlignment="1">
      <alignment vertical="center" wrapText="1" shrinkToFit="1"/>
    </xf>
    <xf numFmtId="0" fontId="43" fillId="0" borderId="1" xfId="0" applyFont="1" applyBorder="1" applyAlignment="1">
      <alignment vertical="center" wrapText="1"/>
    </xf>
    <xf numFmtId="0" fontId="25" fillId="0" borderId="60" xfId="0" applyFont="1" applyBorder="1"/>
    <xf numFmtId="0" fontId="16" fillId="0" borderId="60" xfId="0" applyFont="1" applyBorder="1" applyAlignment="1">
      <alignment horizontal="center" vertical="top" wrapText="1"/>
    </xf>
    <xf numFmtId="0" fontId="3" fillId="0" borderId="0" xfId="0" applyFont="1"/>
    <xf numFmtId="0" fontId="16" fillId="0" borderId="85" xfId="0" applyFont="1" applyBorder="1" applyAlignment="1">
      <alignment horizontal="center" vertical="center" wrapText="1"/>
    </xf>
    <xf numFmtId="0" fontId="3" fillId="6" borderId="80" xfId="0" applyFont="1" applyFill="1" applyBorder="1" applyAlignment="1">
      <alignment horizontal="center" vertical="center"/>
    </xf>
    <xf numFmtId="0" fontId="16" fillId="0" borderId="2" xfId="0" applyFont="1" applyBorder="1" applyAlignment="1">
      <alignment horizontal="center" vertical="center" wrapText="1"/>
    </xf>
    <xf numFmtId="0" fontId="3" fillId="6" borderId="65" xfId="0" applyFont="1" applyFill="1" applyBorder="1" applyAlignment="1">
      <alignment horizontal="center" vertical="center"/>
    </xf>
    <xf numFmtId="164" fontId="16" fillId="6" borderId="65" xfId="0" applyNumberFormat="1" applyFont="1" applyFill="1" applyBorder="1" applyAlignment="1">
      <alignment horizontal="center" vertical="center" wrapText="1"/>
    </xf>
    <xf numFmtId="0" fontId="3" fillId="0" borderId="2" xfId="0" applyFont="1" applyBorder="1" applyAlignment="1">
      <alignment horizontal="center" vertical="top" wrapText="1"/>
    </xf>
    <xf numFmtId="164" fontId="16" fillId="6" borderId="65" xfId="4" applyFont="1" applyFill="1" applyBorder="1" applyAlignment="1">
      <alignment horizontal="center" vertical="center" wrapText="1"/>
    </xf>
    <xf numFmtId="0" fontId="3" fillId="0" borderId="65" xfId="0" applyFont="1" applyBorder="1" applyAlignment="1">
      <alignment horizontal="center" vertical="center"/>
    </xf>
    <xf numFmtId="0" fontId="43" fillId="0" borderId="48" xfId="0" applyFont="1" applyBorder="1" applyAlignment="1">
      <alignment vertical="center"/>
    </xf>
    <xf numFmtId="0" fontId="15" fillId="0" borderId="60"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51" xfId="0" applyFont="1" applyBorder="1" applyAlignment="1">
      <alignment horizontal="center" vertical="top" wrapText="1"/>
    </xf>
    <xf numFmtId="0" fontId="15" fillId="0" borderId="44" xfId="0" applyFont="1" applyBorder="1" applyAlignment="1">
      <alignment horizontal="center" vertical="top" wrapText="1"/>
    </xf>
    <xf numFmtId="0" fontId="15" fillId="0" borderId="48" xfId="0" applyFont="1" applyBorder="1" applyAlignment="1">
      <alignment horizontal="center"/>
    </xf>
    <xf numFmtId="0" fontId="15" fillId="0" borderId="2" xfId="0" applyFont="1" applyBorder="1" applyAlignment="1">
      <alignment horizontal="center" vertical="top" wrapText="1"/>
    </xf>
    <xf numFmtId="0" fontId="15" fillId="0" borderId="2" xfId="0" applyFont="1" applyBorder="1" applyAlignment="1">
      <alignment horizontal="center" vertical="center" wrapText="1"/>
    </xf>
    <xf numFmtId="0" fontId="15" fillId="0" borderId="2" xfId="0" applyFont="1" applyBorder="1" applyAlignment="1">
      <alignment horizontal="center"/>
    </xf>
    <xf numFmtId="0" fontId="15" fillId="0" borderId="47" xfId="0" applyFont="1" applyBorder="1" applyAlignment="1">
      <alignment horizontal="center"/>
    </xf>
    <xf numFmtId="0" fontId="15" fillId="0" borderId="48" xfId="0" applyFont="1" applyBorder="1" applyAlignment="1">
      <alignment horizontal="center" vertical="center" wrapText="1"/>
    </xf>
    <xf numFmtId="0" fontId="16" fillId="0" borderId="48" xfId="0" applyFont="1" applyBorder="1" applyAlignment="1">
      <alignment horizontal="center" vertical="top" wrapText="1"/>
    </xf>
    <xf numFmtId="0" fontId="3" fillId="0" borderId="86" xfId="0" applyFont="1" applyBorder="1" applyAlignment="1">
      <alignment horizontal="center" vertical="center"/>
    </xf>
    <xf numFmtId="0" fontId="15" fillId="0" borderId="50" xfId="0" applyFont="1" applyBorder="1" applyAlignment="1">
      <alignment horizontal="center" vertical="center" wrapText="1"/>
    </xf>
    <xf numFmtId="0" fontId="15" fillId="0" borderId="84" xfId="0" applyFont="1" applyBorder="1" applyAlignment="1">
      <alignment horizontal="center" vertical="top" wrapText="1"/>
    </xf>
    <xf numFmtId="0" fontId="15" fillId="0" borderId="87" xfId="0" applyFont="1" applyBorder="1" applyAlignment="1">
      <alignment horizontal="center" vertical="top" wrapText="1"/>
    </xf>
    <xf numFmtId="14" fontId="42" fillId="0" borderId="83" xfId="0" applyNumberFormat="1" applyFont="1" applyBorder="1" applyAlignment="1">
      <alignment horizontal="center" vertical="center" wrapText="1"/>
    </xf>
    <xf numFmtId="14" fontId="15" fillId="0" borderId="87" xfId="0" applyNumberFormat="1" applyFont="1" applyBorder="1" applyAlignment="1">
      <alignment horizontal="center" vertical="center" wrapText="1"/>
    </xf>
    <xf numFmtId="0" fontId="15" fillId="0" borderId="49" xfId="0" applyFont="1" applyBorder="1" applyAlignment="1">
      <alignment horizontal="center" vertical="top" wrapText="1"/>
    </xf>
    <xf numFmtId="169" fontId="37" fillId="7" borderId="11" xfId="4" applyNumberFormat="1" applyFont="1" applyFill="1" applyBorder="1" applyAlignment="1">
      <alignment vertical="center" wrapText="1"/>
    </xf>
    <xf numFmtId="0" fontId="44" fillId="21" borderId="55" xfId="0" applyFont="1" applyFill="1" applyBorder="1" applyAlignment="1">
      <alignment horizontal="center" vertical="center" wrapText="1"/>
    </xf>
    <xf numFmtId="0" fontId="44" fillId="21" borderId="56" xfId="0" applyFont="1" applyFill="1" applyBorder="1" applyAlignment="1">
      <alignment horizontal="center" vertical="center" wrapText="1"/>
    </xf>
    <xf numFmtId="0" fontId="44" fillId="21" borderId="8" xfId="0" applyFont="1" applyFill="1" applyBorder="1" applyAlignment="1">
      <alignment horizontal="center" vertical="center" wrapText="1"/>
    </xf>
    <xf numFmtId="0" fontId="14" fillId="5" borderId="75" xfId="0" applyFont="1" applyFill="1" applyBorder="1" applyAlignment="1">
      <alignment horizontal="center" vertical="center" wrapText="1"/>
    </xf>
    <xf numFmtId="0" fontId="14" fillId="0" borderId="25" xfId="0" applyFont="1" applyBorder="1" applyAlignment="1">
      <alignment horizontal="center" vertical="center" wrapText="1"/>
    </xf>
    <xf numFmtId="0" fontId="14" fillId="5" borderId="71" xfId="0" applyFont="1" applyFill="1" applyBorder="1" applyAlignment="1">
      <alignment horizontal="center" vertical="center" wrapText="1"/>
    </xf>
    <xf numFmtId="0" fontId="38" fillId="0" borderId="26" xfId="0" applyFont="1" applyBorder="1" applyAlignment="1">
      <alignment horizontal="center" vertical="center" wrapText="1"/>
    </xf>
    <xf numFmtId="0" fontId="40" fillId="0" borderId="52" xfId="0" applyFont="1" applyBorder="1" applyAlignment="1">
      <alignment horizontal="center" vertical="center"/>
    </xf>
    <xf numFmtId="0" fontId="3" fillId="0" borderId="24" xfId="0" applyFont="1" applyBorder="1" applyAlignment="1">
      <alignment horizontal="center" vertical="center"/>
    </xf>
    <xf numFmtId="0" fontId="37" fillId="5" borderId="56" xfId="0" applyFont="1" applyFill="1" applyBorder="1" applyAlignment="1">
      <alignment horizontal="center" vertical="center"/>
    </xf>
    <xf numFmtId="0" fontId="3" fillId="5" borderId="56" xfId="0" applyFont="1" applyFill="1" applyBorder="1" applyAlignment="1">
      <alignment horizontal="center" vertical="center"/>
    </xf>
    <xf numFmtId="0" fontId="40" fillId="0" borderId="60"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40" fillId="0" borderId="16" xfId="0" applyFont="1" applyBorder="1" applyAlignment="1">
      <alignment vertical="center"/>
    </xf>
    <xf numFmtId="0" fontId="13" fillId="0" borderId="1" xfId="0" applyFont="1" applyBorder="1" applyAlignment="1">
      <alignment horizontal="center" vertical="center"/>
    </xf>
    <xf numFmtId="0" fontId="39" fillId="0" borderId="63" xfId="0" applyFont="1" applyBorder="1" applyAlignment="1">
      <alignment horizontal="left" vertical="center"/>
    </xf>
    <xf numFmtId="0" fontId="39" fillId="0" borderId="64" xfId="0" applyFont="1" applyBorder="1" applyAlignment="1">
      <alignment horizontal="left" vertical="center"/>
    </xf>
    <xf numFmtId="0" fontId="39" fillId="0" borderId="73" xfId="0" applyFont="1" applyBorder="1" applyAlignment="1">
      <alignment horizontal="left" vertical="center"/>
    </xf>
    <xf numFmtId="0" fontId="39" fillId="0" borderId="73" xfId="0" applyFont="1" applyBorder="1" applyAlignment="1">
      <alignment horizontal="left" vertical="center" wrapText="1" shrinkToFit="1"/>
    </xf>
    <xf numFmtId="0" fontId="39" fillId="0" borderId="73" xfId="0" applyFont="1" applyBorder="1" applyAlignment="1">
      <alignment horizontal="left" vertical="center" wrapText="1"/>
    </xf>
    <xf numFmtId="0" fontId="37" fillId="5" borderId="69" xfId="0" applyFont="1" applyFill="1" applyBorder="1" applyAlignment="1">
      <alignment horizontal="left" vertical="center"/>
    </xf>
    <xf numFmtId="0" fontId="39" fillId="0" borderId="78" xfId="0" applyFont="1" applyBorder="1" applyAlignment="1">
      <alignment horizontal="left" vertical="center"/>
    </xf>
    <xf numFmtId="0" fontId="39" fillId="0" borderId="13" xfId="0" applyFont="1" applyBorder="1" applyAlignment="1">
      <alignment horizontal="left" vertical="center"/>
    </xf>
    <xf numFmtId="0" fontId="39" fillId="0" borderId="67" xfId="0" applyFont="1" applyBorder="1" applyAlignment="1">
      <alignment horizontal="left" vertical="center"/>
    </xf>
    <xf numFmtId="0" fontId="0" fillId="0" borderId="0" xfId="0" applyAlignment="1">
      <alignment horizontal="center" vertical="center"/>
    </xf>
    <xf numFmtId="0" fontId="9" fillId="0" borderId="0" xfId="0" applyFont="1" applyAlignment="1">
      <alignment horizontal="left" vertical="center"/>
    </xf>
    <xf numFmtId="0" fontId="40" fillId="0" borderId="59" xfId="0" applyFont="1" applyBorder="1" applyAlignment="1">
      <alignment horizontal="center" vertical="center"/>
    </xf>
    <xf numFmtId="0" fontId="13" fillId="5" borderId="7" xfId="0" applyFont="1" applyFill="1" applyBorder="1" applyAlignment="1">
      <alignment horizontal="center" vertical="center"/>
    </xf>
    <xf numFmtId="0" fontId="40" fillId="0" borderId="77" xfId="0" applyFont="1" applyBorder="1" applyAlignment="1">
      <alignment horizontal="center" vertical="center"/>
    </xf>
    <xf numFmtId="0" fontId="40" fillId="0" borderId="62" xfId="0" applyFont="1" applyBorder="1" applyAlignment="1">
      <alignment horizontal="center" vertical="center"/>
    </xf>
    <xf numFmtId="0" fontId="40" fillId="0" borderId="66" xfId="0" applyFont="1" applyBorder="1" applyAlignment="1">
      <alignment horizontal="center" vertical="center"/>
    </xf>
    <xf numFmtId="0" fontId="14" fillId="6" borderId="1" xfId="0" applyFont="1" applyFill="1" applyBorder="1" applyAlignment="1">
      <alignment horizontal="center" vertical="center" wrapText="1"/>
    </xf>
    <xf numFmtId="0" fontId="15" fillId="0" borderId="52" xfId="0" applyFont="1" applyBorder="1" applyAlignment="1">
      <alignment horizontal="center" vertical="center" wrapText="1"/>
    </xf>
    <xf numFmtId="0" fontId="15" fillId="6" borderId="1" xfId="0" applyFont="1" applyFill="1" applyBorder="1" applyAlignment="1">
      <alignment horizontal="center" vertical="center" wrapText="1"/>
    </xf>
    <xf numFmtId="0" fontId="45" fillId="0" borderId="26" xfId="0" applyFont="1" applyBorder="1" applyAlignment="1">
      <alignment horizontal="center" vertical="center" wrapText="1"/>
    </xf>
    <xf numFmtId="0" fontId="45" fillId="0" borderId="25" xfId="0" applyFont="1" applyBorder="1" applyAlignment="1">
      <alignment horizontal="center" vertical="center" wrapText="1"/>
    </xf>
    <xf numFmtId="0" fontId="45" fillId="0" borderId="1" xfId="0" applyFont="1" applyBorder="1" applyAlignment="1">
      <alignment horizontal="center" vertical="center" wrapText="1"/>
    </xf>
    <xf numFmtId="0" fontId="46" fillId="5" borderId="71" xfId="0" applyFont="1" applyFill="1" applyBorder="1" applyAlignment="1">
      <alignment horizontal="center" vertical="center" wrapText="1"/>
    </xf>
    <xf numFmtId="0" fontId="46" fillId="5" borderId="89" xfId="0" applyFont="1" applyFill="1" applyBorder="1" applyAlignment="1">
      <alignment horizontal="center" vertical="center" wrapText="1"/>
    </xf>
    <xf numFmtId="0" fontId="46" fillId="5" borderId="8" xfId="0" applyFont="1" applyFill="1" applyBorder="1" applyAlignment="1">
      <alignment horizontal="center" vertical="center" wrapText="1"/>
    </xf>
    <xf numFmtId="0" fontId="45" fillId="0" borderId="90" xfId="0" applyFont="1" applyBorder="1" applyAlignment="1">
      <alignment horizontal="center" vertical="center" wrapText="1"/>
    </xf>
    <xf numFmtId="0" fontId="45" fillId="0" borderId="73" xfId="0" applyFont="1" applyBorder="1" applyAlignment="1">
      <alignment horizontal="center" vertical="center" wrapText="1"/>
    </xf>
    <xf numFmtId="0" fontId="45" fillId="0" borderId="92" xfId="0" applyFont="1" applyBorder="1" applyAlignment="1">
      <alignment horizontal="center" vertical="center" wrapText="1"/>
    </xf>
    <xf numFmtId="0" fontId="45" fillId="22" borderId="47" xfId="0" applyFont="1" applyFill="1" applyBorder="1" applyAlignment="1">
      <alignment horizontal="center" vertical="center"/>
    </xf>
    <xf numFmtId="0" fontId="41" fillId="22" borderId="86" xfId="0" applyFont="1" applyFill="1" applyBorder="1" applyAlignment="1">
      <alignment horizontal="center"/>
    </xf>
    <xf numFmtId="0" fontId="45" fillId="0" borderId="46" xfId="0" applyFont="1" applyBorder="1" applyAlignment="1">
      <alignment horizontal="center" vertical="center" wrapText="1"/>
    </xf>
    <xf numFmtId="0" fontId="45" fillId="0" borderId="91" xfId="0" applyFont="1" applyBorder="1" applyAlignment="1">
      <alignment horizontal="center" vertical="center" wrapText="1"/>
    </xf>
    <xf numFmtId="0" fontId="51" fillId="6" borderId="0" xfId="0" applyFont="1" applyFill="1" applyAlignment="1">
      <alignment horizontal="center" vertical="center" wrapText="1"/>
    </xf>
    <xf numFmtId="0" fontId="27" fillId="6" borderId="0" xfId="0" applyFont="1" applyFill="1" applyAlignment="1">
      <alignment horizontal="center" vertical="center" wrapText="1"/>
    </xf>
    <xf numFmtId="14" fontId="27" fillId="6" borderId="0" xfId="0" applyNumberFormat="1" applyFont="1" applyFill="1" applyAlignment="1">
      <alignment horizontal="center" vertical="center" wrapText="1"/>
    </xf>
    <xf numFmtId="0" fontId="51" fillId="27" borderId="95" xfId="0" applyFont="1" applyFill="1" applyBorder="1" applyAlignment="1">
      <alignment horizontal="center" vertical="center"/>
    </xf>
    <xf numFmtId="0" fontId="51" fillId="27" borderId="95" xfId="0" applyFont="1" applyFill="1" applyBorder="1" applyAlignment="1">
      <alignment horizontal="center" vertical="center" wrapText="1"/>
    </xf>
    <xf numFmtId="0" fontId="52" fillId="6" borderId="96" xfId="0" applyFont="1" applyFill="1" applyBorder="1" applyAlignment="1">
      <alignment horizontal="center" vertical="center" wrapText="1"/>
    </xf>
    <xf numFmtId="0" fontId="27" fillId="6" borderId="96" xfId="0" applyFont="1" applyFill="1" applyBorder="1" applyAlignment="1">
      <alignment horizontal="center" vertical="center" wrapText="1"/>
    </xf>
    <xf numFmtId="8" fontId="6" fillId="5" borderId="71" xfId="0" applyNumberFormat="1" applyFont="1" applyFill="1" applyBorder="1" applyAlignment="1">
      <alignment vertical="center"/>
    </xf>
    <xf numFmtId="14" fontId="36" fillId="5" borderId="70" xfId="0" applyNumberFormat="1" applyFont="1" applyFill="1" applyBorder="1" applyAlignment="1">
      <alignment horizontal="center" vertical="center" wrapText="1"/>
    </xf>
    <xf numFmtId="14" fontId="14" fillId="0" borderId="51" xfId="0" applyNumberFormat="1" applyFont="1" applyBorder="1" applyAlignment="1">
      <alignment horizontal="center" vertical="center" wrapText="1"/>
    </xf>
    <xf numFmtId="14" fontId="14" fillId="0" borderId="44" xfId="0" applyNumberFormat="1" applyFont="1" applyBorder="1" applyAlignment="1">
      <alignment horizontal="center" vertical="center" wrapText="1"/>
    </xf>
    <xf numFmtId="14" fontId="14" fillId="0" borderId="53" xfId="0" applyNumberFormat="1" applyFont="1" applyBorder="1" applyAlignment="1">
      <alignment horizontal="center" vertical="center" wrapText="1"/>
    </xf>
    <xf numFmtId="14" fontId="37" fillId="5" borderId="74" xfId="0" applyNumberFormat="1" applyFont="1" applyFill="1" applyBorder="1" applyAlignment="1">
      <alignment horizontal="center" vertical="center" wrapText="1"/>
    </xf>
    <xf numFmtId="14" fontId="36" fillId="5" borderId="56" xfId="0" applyNumberFormat="1" applyFont="1" applyFill="1" applyBorder="1" applyAlignment="1">
      <alignment horizontal="center" vertical="center" wrapText="1"/>
    </xf>
    <xf numFmtId="14" fontId="37" fillId="5" borderId="70" xfId="0" applyNumberFormat="1" applyFont="1" applyFill="1" applyBorder="1" applyAlignment="1">
      <alignment horizontal="center" vertical="center" wrapText="1"/>
    </xf>
    <xf numFmtId="14" fontId="14" fillId="0" borderId="79" xfId="0" applyNumberFormat="1" applyFont="1" applyBorder="1" applyAlignment="1">
      <alignment horizontal="center" vertical="center" wrapText="1"/>
    </xf>
    <xf numFmtId="0" fontId="45" fillId="0" borderId="6" xfId="0" applyFont="1" applyBorder="1" applyAlignment="1">
      <alignment horizontal="center" vertical="center" wrapText="1"/>
    </xf>
    <xf numFmtId="0" fontId="45" fillId="0" borderId="52" xfId="0" applyFont="1" applyBorder="1" applyAlignment="1">
      <alignment horizontal="center" vertical="center" wrapText="1"/>
    </xf>
    <xf numFmtId="0" fontId="45" fillId="0" borderId="1" xfId="0" applyFont="1" applyBorder="1" applyAlignment="1">
      <alignment horizontal="center" vertical="center"/>
    </xf>
    <xf numFmtId="0" fontId="47" fillId="6" borderId="0" xfId="0" applyFont="1" applyFill="1"/>
    <xf numFmtId="0" fontId="0" fillId="6" borderId="0" xfId="0" applyFill="1"/>
    <xf numFmtId="0" fontId="53" fillId="6" borderId="0" xfId="0" applyFont="1" applyFill="1"/>
    <xf numFmtId="0" fontId="14" fillId="6" borderId="0" xfId="0" applyFont="1" applyFill="1"/>
    <xf numFmtId="0" fontId="0" fillId="12" borderId="55" xfId="0" applyFill="1" applyBorder="1"/>
    <xf numFmtId="0" fontId="0" fillId="12" borderId="56" xfId="0" applyFill="1" applyBorder="1"/>
    <xf numFmtId="0" fontId="0" fillId="12" borderId="82" xfId="0" applyFill="1" applyBorder="1"/>
    <xf numFmtId="0" fontId="0" fillId="0" borderId="97" xfId="0" applyBorder="1"/>
    <xf numFmtId="0" fontId="0" fillId="0" borderId="98" xfId="0" applyBorder="1"/>
    <xf numFmtId="0" fontId="3" fillId="0" borderId="98" xfId="0" applyFont="1" applyBorder="1"/>
    <xf numFmtId="0" fontId="0" fillId="0" borderId="99" xfId="0" applyBorder="1"/>
    <xf numFmtId="0" fontId="0" fillId="0" borderId="100" xfId="0" applyBorder="1"/>
    <xf numFmtId="0" fontId="0" fillId="0" borderId="61" xfId="0" applyBorder="1"/>
    <xf numFmtId="0" fontId="3" fillId="0" borderId="61" xfId="0" applyFont="1" applyBorder="1"/>
    <xf numFmtId="0" fontId="0" fillId="0" borderId="101" xfId="0" applyBorder="1"/>
    <xf numFmtId="0" fontId="0" fillId="0" borderId="102" xfId="0" applyBorder="1"/>
    <xf numFmtId="0" fontId="0" fillId="0" borderId="103" xfId="0" applyBorder="1"/>
    <xf numFmtId="0" fontId="3" fillId="0" borderId="100" xfId="0" applyFont="1" applyBorder="1"/>
    <xf numFmtId="0" fontId="3" fillId="0" borderId="103" xfId="0" applyFont="1" applyBorder="1"/>
    <xf numFmtId="0" fontId="0" fillId="0" borderId="104" xfId="0" applyBorder="1"/>
    <xf numFmtId="0" fontId="0" fillId="0" borderId="105" xfId="0" applyBorder="1"/>
    <xf numFmtId="0" fontId="0" fillId="0" borderId="106" xfId="0" applyBorder="1"/>
    <xf numFmtId="0" fontId="3" fillId="28" borderId="107" xfId="0" applyFont="1" applyFill="1" applyBorder="1"/>
    <xf numFmtId="0" fontId="0" fillId="28" borderId="9" xfId="0" applyFill="1" applyBorder="1"/>
    <xf numFmtId="0" fontId="0" fillId="28" borderId="10" xfId="0" applyFill="1" applyBorder="1"/>
    <xf numFmtId="0" fontId="3" fillId="28" borderId="5" xfId="0" applyFont="1" applyFill="1" applyBorder="1"/>
    <xf numFmtId="0" fontId="0" fillId="28" borderId="0" xfId="0" applyFill="1"/>
    <xf numFmtId="0" fontId="0" fillId="28" borderId="6" xfId="0" applyFill="1" applyBorder="1"/>
    <xf numFmtId="0" fontId="0" fillId="28" borderId="11" xfId="0" applyFill="1" applyBorder="1"/>
    <xf numFmtId="0" fontId="0" fillId="28" borderId="12" xfId="0" applyFill="1" applyBorder="1"/>
    <xf numFmtId="0" fontId="3" fillId="6" borderId="107" xfId="0" applyFont="1" applyFill="1" applyBorder="1"/>
    <xf numFmtId="0" fontId="0" fillId="6" borderId="9" xfId="0" applyFill="1" applyBorder="1"/>
    <xf numFmtId="0" fontId="0" fillId="6" borderId="10" xfId="0" applyFill="1" applyBorder="1"/>
    <xf numFmtId="0" fontId="3" fillId="6" borderId="9" xfId="0" applyFont="1" applyFill="1" applyBorder="1"/>
    <xf numFmtId="0" fontId="3" fillId="6" borderId="5" xfId="0" applyFont="1" applyFill="1" applyBorder="1"/>
    <xf numFmtId="0" fontId="0" fillId="6" borderId="6" xfId="0" applyFill="1" applyBorder="1"/>
    <xf numFmtId="0" fontId="3" fillId="6" borderId="0" xfId="0" applyFont="1" applyFill="1"/>
    <xf numFmtId="0" fontId="3" fillId="0" borderId="47" xfId="0" applyFont="1" applyBorder="1"/>
    <xf numFmtId="0" fontId="3" fillId="6" borderId="108" xfId="0" applyFont="1" applyFill="1" applyBorder="1"/>
    <xf numFmtId="0" fontId="0" fillId="6" borderId="11" xfId="0" applyFill="1" applyBorder="1"/>
    <xf numFmtId="0" fontId="0" fillId="6" borderId="12" xfId="0" applyFill="1" applyBorder="1"/>
    <xf numFmtId="0" fontId="3" fillId="28" borderId="3" xfId="0" applyFont="1" applyFill="1" applyBorder="1"/>
    <xf numFmtId="0" fontId="0" fillId="28" borderId="109" xfId="0" applyFill="1" applyBorder="1"/>
    <xf numFmtId="0" fontId="6" fillId="0" borderId="55" xfId="0" applyFont="1" applyBorder="1" applyAlignment="1">
      <alignment horizontal="center"/>
    </xf>
    <xf numFmtId="0" fontId="6" fillId="0" borderId="82" xfId="0" applyFont="1" applyBorder="1" applyAlignment="1">
      <alignment horizontal="center"/>
    </xf>
    <xf numFmtId="0" fontId="3" fillId="28" borderId="2" xfId="0" applyFont="1" applyFill="1" applyBorder="1"/>
    <xf numFmtId="0" fontId="3" fillId="28" borderId="65" xfId="0" applyFont="1" applyFill="1" applyBorder="1"/>
    <xf numFmtId="0" fontId="3" fillId="0" borderId="85" xfId="0" applyFont="1" applyBorder="1"/>
    <xf numFmtId="0" fontId="3" fillId="0" borderId="2" xfId="0" applyFont="1" applyBorder="1"/>
    <xf numFmtId="0" fontId="3" fillId="28" borderId="47" xfId="0" applyFont="1" applyFill="1" applyBorder="1"/>
    <xf numFmtId="0" fontId="3" fillId="28" borderId="86" xfId="0" applyFont="1" applyFill="1" applyBorder="1"/>
    <xf numFmtId="0" fontId="6" fillId="0" borderId="55" xfId="0" applyFont="1" applyBorder="1" applyAlignment="1">
      <alignment horizontal="center" vertical="center"/>
    </xf>
    <xf numFmtId="0" fontId="6" fillId="0" borderId="82" xfId="0" applyFont="1" applyBorder="1" applyAlignment="1">
      <alignment horizontal="center" vertical="center"/>
    </xf>
    <xf numFmtId="0" fontId="54" fillId="5" borderId="89" xfId="0" applyFont="1" applyFill="1" applyBorder="1" applyAlignment="1">
      <alignment horizontal="center" vertical="center" wrapText="1"/>
    </xf>
    <xf numFmtId="0" fontId="54" fillId="5" borderId="71" xfId="0" applyFont="1" applyFill="1" applyBorder="1" applyAlignment="1">
      <alignment horizontal="center" vertical="center" wrapText="1"/>
    </xf>
    <xf numFmtId="0" fontId="54" fillId="5" borderId="8" xfId="0" applyFont="1" applyFill="1" applyBorder="1" applyAlignment="1">
      <alignment horizontal="center" vertical="center" wrapText="1"/>
    </xf>
    <xf numFmtId="0" fontId="3" fillId="0" borderId="90"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7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91" xfId="0" applyFont="1" applyBorder="1" applyAlignment="1">
      <alignment horizontal="center" vertical="center" wrapText="1"/>
    </xf>
    <xf numFmtId="0" fontId="3" fillId="0" borderId="92" xfId="0" applyFont="1" applyBorder="1" applyAlignment="1">
      <alignment horizontal="center" vertical="center" wrapText="1"/>
    </xf>
    <xf numFmtId="0" fontId="3" fillId="0" borderId="5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xf>
    <xf numFmtId="0" fontId="3" fillId="22" borderId="47" xfId="0" applyFont="1" applyFill="1" applyBorder="1" applyAlignment="1">
      <alignment horizontal="center" vertical="center"/>
    </xf>
    <xf numFmtId="0" fontId="6" fillId="22" borderId="86" xfId="0" applyFont="1" applyFill="1" applyBorder="1" applyAlignment="1">
      <alignment horizontal="center"/>
    </xf>
    <xf numFmtId="0" fontId="6" fillId="22" borderId="69" xfId="0" applyFont="1" applyFill="1" applyBorder="1" applyAlignment="1">
      <alignment vertical="center"/>
    </xf>
    <xf numFmtId="0" fontId="6" fillId="22" borderId="16" xfId="0" applyFont="1" applyFill="1" applyBorder="1" applyAlignment="1">
      <alignment vertical="center"/>
    </xf>
    <xf numFmtId="0" fontId="6" fillId="22" borderId="8" xfId="0" applyFont="1" applyFill="1" applyBorder="1" applyAlignment="1">
      <alignment vertical="center"/>
    </xf>
    <xf numFmtId="0" fontId="6" fillId="22" borderId="93" xfId="0" applyFont="1" applyFill="1" applyBorder="1" applyAlignment="1">
      <alignment vertical="center"/>
    </xf>
    <xf numFmtId="0" fontId="6" fillId="22" borderId="94" xfId="0" applyFont="1" applyFill="1" applyBorder="1" applyAlignment="1">
      <alignment vertical="center"/>
    </xf>
    <xf numFmtId="0" fontId="0" fillId="0" borderId="61" xfId="0" applyBorder="1" applyAlignment="1">
      <alignment vertical="top"/>
    </xf>
    <xf numFmtId="0" fontId="0" fillId="0" borderId="103" xfId="0" applyBorder="1" applyAlignment="1">
      <alignment vertical="top"/>
    </xf>
    <xf numFmtId="0" fontId="0" fillId="28" borderId="5" xfId="0" applyFill="1" applyBorder="1"/>
    <xf numFmtId="0" fontId="0" fillId="28" borderId="83" xfId="0" applyFill="1" applyBorder="1"/>
    <xf numFmtId="0" fontId="6" fillId="0" borderId="1" xfId="0" applyFont="1" applyBorder="1" applyAlignment="1">
      <alignment horizontal="center"/>
    </xf>
    <xf numFmtId="0" fontId="3" fillId="6" borderId="47" xfId="0" applyFont="1" applyFill="1" applyBorder="1"/>
    <xf numFmtId="0" fontId="31" fillId="0" borderId="0" xfId="16"/>
    <xf numFmtId="3" fontId="18" fillId="25" borderId="0" xfId="17" applyNumberFormat="1" applyBorder="1"/>
    <xf numFmtId="3" fontId="49" fillId="23" borderId="0" xfId="18" applyNumberFormat="1" applyBorder="1"/>
    <xf numFmtId="3" fontId="31" fillId="0" borderId="0" xfId="16" applyNumberFormat="1"/>
    <xf numFmtId="0" fontId="56" fillId="0" borderId="0" xfId="16" applyFont="1" applyAlignment="1">
      <alignment wrapText="1"/>
    </xf>
    <xf numFmtId="3" fontId="18" fillId="25" borderId="79" xfId="17" applyNumberFormat="1" applyBorder="1"/>
    <xf numFmtId="3" fontId="49" fillId="23" borderId="110" xfId="18" applyNumberFormat="1" applyBorder="1"/>
    <xf numFmtId="3" fontId="31" fillId="0" borderId="110" xfId="16" applyNumberFormat="1" applyBorder="1"/>
    <xf numFmtId="0" fontId="31" fillId="0" borderId="110" xfId="16" applyBorder="1"/>
    <xf numFmtId="0" fontId="56" fillId="0" borderId="83" xfId="16" applyFont="1" applyBorder="1" applyAlignment="1">
      <alignment horizontal="left" vertical="center" wrapText="1"/>
    </xf>
    <xf numFmtId="0" fontId="31" fillId="0" borderId="111" xfId="16" applyBorder="1"/>
    <xf numFmtId="9" fontId="49" fillId="23" borderId="112" xfId="18" applyNumberFormat="1" applyBorder="1"/>
    <xf numFmtId="9" fontId="49" fillId="0" borderId="112" xfId="18" applyNumberFormat="1" applyFill="1" applyBorder="1"/>
    <xf numFmtId="9" fontId="31" fillId="0" borderId="112" xfId="16" applyNumberFormat="1" applyBorder="1"/>
    <xf numFmtId="0" fontId="31" fillId="0" borderId="112" xfId="16" applyBorder="1"/>
    <xf numFmtId="0" fontId="31" fillId="0" borderId="113" xfId="16" applyBorder="1" applyAlignment="1">
      <alignment horizontal="left" vertical="center"/>
    </xf>
    <xf numFmtId="3" fontId="31" fillId="0" borderId="1" xfId="16" applyNumberFormat="1" applyBorder="1"/>
    <xf numFmtId="0" fontId="31" fillId="0" borderId="110" xfId="16" applyBorder="1" applyAlignment="1">
      <alignment wrapText="1"/>
    </xf>
    <xf numFmtId="0" fontId="56" fillId="0" borderId="83" xfId="16" applyFont="1" applyBorder="1" applyAlignment="1">
      <alignment horizontal="left" vertical="center"/>
    </xf>
    <xf numFmtId="3" fontId="31" fillId="0" borderId="110" xfId="16" applyNumberFormat="1" applyBorder="1" applyAlignment="1">
      <alignment wrapText="1"/>
    </xf>
    <xf numFmtId="3" fontId="56" fillId="0" borderId="83" xfId="16" applyNumberFormat="1" applyFont="1" applyBorder="1" applyAlignment="1">
      <alignment horizontal="left" vertical="center"/>
    </xf>
    <xf numFmtId="0" fontId="18" fillId="24" borderId="0" xfId="15"/>
    <xf numFmtId="0" fontId="56" fillId="0" borderId="0" xfId="16" applyFont="1"/>
    <xf numFmtId="169" fontId="56" fillId="29" borderId="0" xfId="16" applyNumberFormat="1" applyFont="1" applyFill="1"/>
    <xf numFmtId="0" fontId="56" fillId="0" borderId="1" xfId="16" applyFont="1" applyBorder="1" applyAlignment="1">
      <alignment vertical="center"/>
    </xf>
    <xf numFmtId="169" fontId="55" fillId="25" borderId="0" xfId="17" applyNumberFormat="1" applyFont="1"/>
    <xf numFmtId="169" fontId="56" fillId="0" borderId="1" xfId="16" applyNumberFormat="1" applyFont="1" applyBorder="1" applyAlignment="1">
      <alignment horizontal="center" vertical="center"/>
    </xf>
    <xf numFmtId="0" fontId="18" fillId="25" borderId="0" xfId="17"/>
    <xf numFmtId="0" fontId="18" fillId="29" borderId="0" xfId="16" applyFont="1" applyFill="1" applyAlignment="1">
      <alignment horizontal="right"/>
    </xf>
    <xf numFmtId="0" fontId="57" fillId="23" borderId="0" xfId="18" applyFont="1" applyAlignment="1">
      <alignment horizontal="center" vertical="center"/>
    </xf>
    <xf numFmtId="0" fontId="55" fillId="24" borderId="0" xfId="15" applyFont="1" applyAlignment="1">
      <alignment vertical="center"/>
    </xf>
    <xf numFmtId="170" fontId="18" fillId="24" borderId="0" xfId="15" applyNumberFormat="1" applyAlignment="1">
      <alignment horizontal="center"/>
    </xf>
    <xf numFmtId="17" fontId="18" fillId="24" borderId="0" xfId="15" applyNumberFormat="1" applyAlignment="1">
      <alignment horizontal="center"/>
    </xf>
    <xf numFmtId="0" fontId="58" fillId="23" borderId="1" xfId="18" applyFont="1" applyBorder="1" applyAlignment="1">
      <alignment horizontal="center" vertical="center"/>
    </xf>
    <xf numFmtId="0" fontId="55" fillId="24" borderId="0" xfId="15" applyFont="1"/>
    <xf numFmtId="0" fontId="1" fillId="0" borderId="0" xfId="16" applyFont="1"/>
    <xf numFmtId="9" fontId="31" fillId="0" borderId="0" xfId="6" applyFont="1"/>
    <xf numFmtId="10" fontId="31" fillId="0" borderId="0" xfId="16" applyNumberFormat="1"/>
    <xf numFmtId="0" fontId="31" fillId="12" borderId="0" xfId="16" applyFill="1"/>
    <xf numFmtId="171" fontId="31" fillId="0" borderId="0" xfId="16" applyNumberFormat="1"/>
    <xf numFmtId="0" fontId="56" fillId="12" borderId="0" xfId="16" applyFont="1" applyFill="1"/>
    <xf numFmtId="1" fontId="31" fillId="0" borderId="0" xfId="16" applyNumberFormat="1"/>
    <xf numFmtId="3" fontId="1" fillId="25" borderId="0" xfId="17" applyNumberFormat="1" applyFont="1"/>
    <xf numFmtId="4" fontId="49" fillId="23" borderId="0" xfId="18" applyNumberFormat="1"/>
    <xf numFmtId="4" fontId="31" fillId="0" borderId="0" xfId="16" applyNumberFormat="1"/>
    <xf numFmtId="3" fontId="1" fillId="0" borderId="0" xfId="17" applyNumberFormat="1" applyFont="1" applyFill="1" applyBorder="1"/>
    <xf numFmtId="3" fontId="1" fillId="0" borderId="79" xfId="17" applyNumberFormat="1" applyFont="1" applyFill="1" applyBorder="1"/>
    <xf numFmtId="0" fontId="56" fillId="0" borderId="83" xfId="16" applyFont="1" applyBorder="1" applyAlignment="1">
      <alignment vertical="center"/>
    </xf>
    <xf numFmtId="0" fontId="1" fillId="0" borderId="111" xfId="16" applyFont="1" applyBorder="1"/>
    <xf numFmtId="0" fontId="31" fillId="0" borderId="113" xfId="16" applyBorder="1" applyAlignment="1">
      <alignment vertical="center"/>
    </xf>
    <xf numFmtId="3" fontId="56" fillId="0" borderId="83" xfId="16" applyNumberFormat="1" applyFont="1" applyBorder="1" applyAlignment="1">
      <alignment vertical="center"/>
    </xf>
    <xf numFmtId="169" fontId="22" fillId="25" borderId="0" xfId="17" applyNumberFormat="1" applyFont="1"/>
    <xf numFmtId="0" fontId="1" fillId="25" borderId="0" xfId="17" applyFont="1"/>
    <xf numFmtId="0" fontId="57" fillId="23" borderId="0" xfId="18" applyFont="1" applyAlignment="1">
      <alignment horizontal="center"/>
    </xf>
    <xf numFmtId="0" fontId="22" fillId="25" borderId="0" xfId="17" applyFont="1" applyAlignment="1">
      <alignment horizontal="center"/>
    </xf>
    <xf numFmtId="0" fontId="56" fillId="29" borderId="0" xfId="16" applyFont="1" applyFill="1" applyAlignment="1">
      <alignment horizontal="center"/>
    </xf>
    <xf numFmtId="0" fontId="61" fillId="23" borderId="1" xfId="18" applyFont="1" applyBorder="1" applyAlignment="1">
      <alignment horizontal="center" vertical="center"/>
    </xf>
    <xf numFmtId="0" fontId="18" fillId="24" borderId="1" xfId="15" applyBorder="1"/>
    <xf numFmtId="0" fontId="31" fillId="0" borderId="1" xfId="16" applyBorder="1"/>
    <xf numFmtId="9" fontId="31" fillId="0" borderId="1" xfId="16" applyNumberFormat="1" applyBorder="1"/>
    <xf numFmtId="0" fontId="62" fillId="7" borderId="0" xfId="21" applyFont="1" applyFill="1"/>
    <xf numFmtId="17" fontId="1" fillId="7" borderId="0" xfId="21" applyNumberFormat="1" applyFill="1"/>
    <xf numFmtId="0" fontId="22" fillId="7" borderId="0" xfId="21" applyFont="1" applyFill="1"/>
    <xf numFmtId="0" fontId="18" fillId="24" borderId="0" xfId="15" applyAlignment="1">
      <alignment wrapText="1"/>
    </xf>
    <xf numFmtId="0" fontId="31" fillId="7" borderId="0" xfId="16" applyFill="1"/>
    <xf numFmtId="0" fontId="1" fillId="7" borderId="0" xfId="21" applyFill="1"/>
    <xf numFmtId="0" fontId="65" fillId="0" borderId="0" xfId="0" applyFont="1"/>
    <xf numFmtId="14" fontId="6" fillId="0" borderId="1" xfId="0" applyNumberFormat="1" applyFont="1" applyBorder="1" applyAlignment="1">
      <alignment horizontal="center" vertical="center" wrapText="1"/>
    </xf>
    <xf numFmtId="49" fontId="68" fillId="0" borderId="9" xfId="0" applyNumberFormat="1" applyFont="1" applyBorder="1" applyAlignment="1">
      <alignment vertical="center" wrapText="1"/>
    </xf>
    <xf numFmtId="0" fontId="4" fillId="0" borderId="9" xfId="0" applyFont="1" applyBorder="1" applyAlignment="1">
      <alignment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49" fontId="68" fillId="0" borderId="0" xfId="0" applyNumberFormat="1" applyFont="1" applyAlignment="1">
      <alignment vertical="center" wrapText="1"/>
    </xf>
    <xf numFmtId="0" fontId="4" fillId="0" borderId="0" xfId="0" applyFont="1" applyAlignment="1">
      <alignment vertical="center" wrapText="1"/>
    </xf>
    <xf numFmtId="0" fontId="4" fillId="0" borderId="6" xfId="0" applyFont="1" applyBorder="1" applyAlignment="1">
      <alignment horizontal="center" vertical="center" wrapText="1"/>
    </xf>
    <xf numFmtId="0" fontId="0" fillId="31" borderId="100" xfId="0" applyFill="1" applyBorder="1" applyAlignment="1">
      <alignment horizontal="center" wrapText="1"/>
    </xf>
    <xf numFmtId="0" fontId="0" fillId="31" borderId="103" xfId="0" applyFill="1" applyBorder="1" applyAlignment="1">
      <alignment horizontal="center" wrapText="1"/>
    </xf>
    <xf numFmtId="0" fontId="0" fillId="31" borderId="5" xfId="0" applyFill="1" applyBorder="1" applyAlignment="1">
      <alignment horizontal="center" wrapText="1"/>
    </xf>
    <xf numFmtId="0" fontId="0" fillId="31" borderId="6" xfId="0" applyFill="1" applyBorder="1" applyAlignment="1">
      <alignment horizontal="center" wrapText="1"/>
    </xf>
    <xf numFmtId="0" fontId="4" fillId="0" borderId="0" xfId="0" quotePrefix="1" applyFont="1" applyAlignment="1">
      <alignment vertical="center" wrapText="1"/>
    </xf>
    <xf numFmtId="0" fontId="4" fillId="0" borderId="11" xfId="0" applyFont="1" applyBorder="1" applyAlignment="1">
      <alignment horizontal="center" vertical="center" wrapText="1"/>
    </xf>
    <xf numFmtId="0" fontId="4" fillId="0" borderId="11" xfId="0" applyFont="1" applyBorder="1" applyAlignment="1">
      <alignment vertical="center" wrapText="1"/>
    </xf>
    <xf numFmtId="0" fontId="4" fillId="0" borderId="12" xfId="0" applyFont="1" applyBorder="1" applyAlignment="1">
      <alignment horizontal="center" vertical="center" wrapText="1"/>
    </xf>
    <xf numFmtId="0" fontId="0" fillId="0" borderId="85" xfId="0" applyBorder="1" applyAlignment="1">
      <alignment wrapText="1"/>
    </xf>
    <xf numFmtId="0" fontId="0" fillId="0" borderId="80" xfId="0" applyBorder="1" applyAlignment="1">
      <alignment horizontal="center" wrapText="1"/>
    </xf>
    <xf numFmtId="0" fontId="68" fillId="32" borderId="107" xfId="0" applyFont="1" applyFill="1" applyBorder="1" applyAlignment="1">
      <alignment horizontal="center" vertical="center" wrapText="1"/>
    </xf>
    <xf numFmtId="0" fontId="68" fillId="32" borderId="9" xfId="0" applyFont="1" applyFill="1" applyBorder="1" applyAlignment="1">
      <alignment horizontal="center" vertical="center" wrapText="1"/>
    </xf>
    <xf numFmtId="0" fontId="0" fillId="0" borderId="2" xfId="0" applyBorder="1" applyAlignment="1">
      <alignment wrapText="1"/>
    </xf>
    <xf numFmtId="0" fontId="0" fillId="0" borderId="65" xfId="0" applyBorder="1" applyAlignment="1">
      <alignment horizontal="center" wrapText="1"/>
    </xf>
    <xf numFmtId="0" fontId="68" fillId="32" borderId="125" xfId="0" applyFont="1" applyFill="1" applyBorder="1" applyAlignment="1">
      <alignment horizontal="center" vertical="center" wrapText="1"/>
    </xf>
    <xf numFmtId="0" fontId="69" fillId="32" borderId="7" xfId="0" applyFont="1" applyFill="1" applyBorder="1" applyAlignment="1" applyProtection="1">
      <alignment horizontal="center" vertical="center" wrapText="1"/>
      <protection locked="0"/>
    </xf>
    <xf numFmtId="0" fontId="68" fillId="32" borderId="7" xfId="0" applyFont="1" applyFill="1" applyBorder="1" applyAlignment="1" applyProtection="1">
      <alignment horizontal="center" vertical="center" wrapText="1"/>
      <protection locked="0"/>
    </xf>
    <xf numFmtId="0" fontId="68" fillId="32" borderId="126" xfId="0" applyFont="1" applyFill="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4" fillId="0" borderId="85" xfId="0" applyFont="1" applyBorder="1" applyAlignment="1">
      <alignment horizontal="center" vertical="center" wrapText="1"/>
    </xf>
    <xf numFmtId="0" fontId="4" fillId="0" borderId="79" xfId="0" applyFont="1" applyBorder="1" applyAlignment="1">
      <alignment horizontal="center" vertical="center" wrapText="1"/>
    </xf>
    <xf numFmtId="0" fontId="68" fillId="0" borderId="60" xfId="0" applyFont="1" applyBorder="1" applyAlignment="1">
      <alignment horizontal="center" vertical="center" wrapText="1"/>
    </xf>
    <xf numFmtId="0" fontId="68" fillId="0" borderId="79" xfId="0" applyFont="1" applyBorder="1" applyAlignment="1">
      <alignment horizontal="center" vertical="center" wrapText="1"/>
    </xf>
    <xf numFmtId="0" fontId="4" fillId="0" borderId="6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5" xfId="0" applyFont="1" applyBorder="1" applyAlignment="1">
      <alignment horizontal="center" vertical="center" wrapText="1"/>
    </xf>
    <xf numFmtId="0" fontId="3" fillId="0" borderId="0" xfId="0" applyFont="1" applyAlignment="1">
      <alignment horizontal="center" vertical="center" wrapText="1"/>
    </xf>
    <xf numFmtId="0" fontId="3" fillId="0" borderId="47" xfId="0" applyFont="1" applyBorder="1" applyAlignment="1">
      <alignment horizontal="center" vertical="center" wrapText="1"/>
    </xf>
    <xf numFmtId="0" fontId="3" fillId="0" borderId="86" xfId="0" applyFont="1" applyBorder="1" applyAlignment="1">
      <alignment horizontal="center" vertical="center" wrapText="1"/>
    </xf>
    <xf numFmtId="0" fontId="4" fillId="33" borderId="60" xfId="0" applyFont="1" applyFill="1" applyBorder="1" applyAlignment="1">
      <alignment horizontal="center" vertical="center" wrapText="1"/>
    </xf>
    <xf numFmtId="0" fontId="4" fillId="0" borderId="0" xfId="0" applyFont="1" applyAlignment="1">
      <alignment horizontal="left" vertical="center" wrapText="1"/>
    </xf>
    <xf numFmtId="172" fontId="71" fillId="0" borderId="60" xfId="0" applyNumberFormat="1" applyFont="1" applyBorder="1" applyAlignment="1">
      <alignment horizontal="center" vertical="center" wrapText="1" shrinkToFit="1"/>
    </xf>
    <xf numFmtId="173" fontId="71" fillId="0" borderId="60" xfId="0" applyNumberFormat="1" applyFont="1" applyBorder="1" applyAlignment="1">
      <alignment horizontal="center" vertical="center" wrapText="1" shrinkToFit="1"/>
    </xf>
    <xf numFmtId="49" fontId="4" fillId="0" borderId="1" xfId="0" applyNumberFormat="1" applyFont="1" applyBorder="1" applyAlignment="1">
      <alignment horizontal="left" vertical="center" wrapText="1"/>
    </xf>
    <xf numFmtId="0" fontId="68" fillId="32" borderId="68" xfId="0" applyFont="1" applyFill="1" applyBorder="1" applyAlignment="1" applyProtection="1">
      <alignment horizontal="center" vertical="center" wrapText="1"/>
      <protection locked="0"/>
    </xf>
    <xf numFmtId="0" fontId="68" fillId="32" borderId="128" xfId="0" applyFont="1" applyFill="1" applyBorder="1" applyAlignment="1" applyProtection="1">
      <alignment horizontal="center" vertical="center" wrapText="1"/>
      <protection locked="0"/>
    </xf>
    <xf numFmtId="0" fontId="68" fillId="32" borderId="111" xfId="0" applyFont="1" applyFill="1" applyBorder="1" applyAlignment="1" applyProtection="1">
      <alignment horizontal="center" vertical="center" wrapText="1"/>
      <protection locked="0"/>
    </xf>
    <xf numFmtId="0" fontId="68" fillId="32" borderId="109" xfId="0" applyFont="1" applyFill="1" applyBorder="1" applyAlignment="1" applyProtection="1">
      <alignment horizontal="center" vertical="center" wrapText="1"/>
      <protection locked="0"/>
    </xf>
    <xf numFmtId="0" fontId="68" fillId="32" borderId="20" xfId="0" applyFont="1" applyFill="1" applyBorder="1" applyAlignment="1" applyProtection="1">
      <alignment horizontal="center" vertical="center" wrapText="1"/>
      <protection locked="0"/>
    </xf>
    <xf numFmtId="0" fontId="68" fillId="32" borderId="129" xfId="0" applyFont="1" applyFill="1" applyBorder="1" applyAlignment="1" applyProtection="1">
      <alignment horizontal="center" vertical="center" wrapText="1"/>
      <protection locked="0"/>
    </xf>
    <xf numFmtId="49" fontId="69" fillId="34" borderId="3" xfId="0" applyNumberFormat="1" applyFont="1" applyFill="1" applyBorder="1" applyAlignment="1" applyProtection="1">
      <alignment horizontal="center" vertical="center" wrapText="1"/>
      <protection locked="0"/>
    </xf>
    <xf numFmtId="49" fontId="69" fillId="34" borderId="4" xfId="0" applyNumberFormat="1" applyFont="1" applyFill="1" applyBorder="1" applyAlignment="1" applyProtection="1">
      <alignment horizontal="center" vertical="center" wrapText="1"/>
      <protection locked="0"/>
    </xf>
    <xf numFmtId="49" fontId="69" fillId="34" borderId="109" xfId="0" applyNumberFormat="1" applyFont="1" applyFill="1" applyBorder="1" applyAlignment="1" applyProtection="1">
      <alignment horizontal="center" vertical="center" wrapText="1"/>
      <protection locked="0"/>
    </xf>
    <xf numFmtId="0" fontId="68" fillId="0" borderId="77" xfId="0" applyFont="1" applyBorder="1" applyAlignment="1">
      <alignment horizontal="center" vertical="center" wrapText="1"/>
    </xf>
    <xf numFmtId="49" fontId="68" fillId="0" borderId="2" xfId="0" applyNumberFormat="1" applyFont="1" applyBorder="1" applyAlignment="1">
      <alignment horizontal="center" vertical="center" wrapText="1"/>
    </xf>
    <xf numFmtId="49" fontId="68" fillId="0" borderId="1" xfId="0" applyNumberFormat="1" applyFont="1" applyBorder="1" applyAlignment="1">
      <alignment horizontal="center" vertical="center" wrapText="1"/>
    </xf>
    <xf numFmtId="2" fontId="68" fillId="32" borderId="1" xfId="0" applyNumberFormat="1" applyFont="1" applyFill="1" applyBorder="1" applyAlignment="1">
      <alignment horizontal="center" vertical="center" wrapText="1"/>
    </xf>
    <xf numFmtId="2" fontId="68" fillId="32" borderId="65" xfId="0" applyNumberFormat="1" applyFont="1" applyFill="1" applyBorder="1" applyAlignment="1">
      <alignment horizontal="center" vertical="center" wrapText="1"/>
    </xf>
    <xf numFmtId="0" fontId="4" fillId="0" borderId="110" xfId="0" applyFont="1" applyBorder="1" applyAlignment="1">
      <alignment horizontal="center" vertical="center" wrapText="1"/>
    </xf>
    <xf numFmtId="9" fontId="68" fillId="35" borderId="1" xfId="22" applyFont="1" applyFill="1" applyBorder="1" applyAlignment="1">
      <alignment horizontal="center" vertical="center" wrapText="1"/>
    </xf>
    <xf numFmtId="49" fontId="4" fillId="36" borderId="0" xfId="0" applyNumberFormat="1" applyFont="1" applyFill="1" applyAlignment="1">
      <alignment horizontal="left" vertical="center" wrapText="1"/>
    </xf>
    <xf numFmtId="0" fontId="37" fillId="37" borderId="3" xfId="0" applyFont="1" applyFill="1" applyBorder="1" applyAlignment="1">
      <alignment horizontal="center"/>
    </xf>
    <xf numFmtId="0" fontId="37" fillId="37" borderId="4" xfId="0" applyFont="1" applyFill="1" applyBorder="1" applyAlignment="1">
      <alignment horizontal="center"/>
    </xf>
    <xf numFmtId="2" fontId="37" fillId="37" borderId="4" xfId="0" applyNumberFormat="1" applyFont="1" applyFill="1" applyBorder="1" applyAlignment="1">
      <alignment horizontal="center"/>
    </xf>
    <xf numFmtId="0" fontId="14" fillId="37" borderId="2" xfId="0" applyFont="1" applyFill="1" applyBorder="1"/>
    <xf numFmtId="2" fontId="14" fillId="37" borderId="1" xfId="0" applyNumberFormat="1" applyFont="1" applyFill="1" applyBorder="1" applyAlignment="1">
      <alignment horizontal="center"/>
    </xf>
    <xf numFmtId="0" fontId="14" fillId="37" borderId="1" xfId="0" applyFont="1" applyFill="1" applyBorder="1"/>
    <xf numFmtId="0" fontId="14" fillId="37" borderId="1" xfId="0" applyFont="1" applyFill="1" applyBorder="1" applyAlignment="1">
      <alignment horizontal="center"/>
    </xf>
    <xf numFmtId="2" fontId="0" fillId="0" borderId="0" xfId="0" applyNumberFormat="1" applyAlignment="1">
      <alignment horizontal="center"/>
    </xf>
    <xf numFmtId="0" fontId="72" fillId="0" borderId="0" xfId="0" applyFont="1" applyAlignment="1">
      <alignment vertical="center"/>
    </xf>
    <xf numFmtId="0" fontId="74" fillId="0" borderId="0" xfId="0" applyFont="1" applyAlignment="1">
      <alignment vertical="center"/>
    </xf>
    <xf numFmtId="0" fontId="72" fillId="38" borderId="7" xfId="0" applyFont="1" applyFill="1" applyBorder="1" applyAlignment="1">
      <alignment horizontal="center" vertical="center" wrapText="1"/>
    </xf>
    <xf numFmtId="0" fontId="72" fillId="38" borderId="8" xfId="0" applyFont="1" applyFill="1" applyBorder="1" applyAlignment="1">
      <alignment horizontal="center" vertical="center" wrapText="1"/>
    </xf>
    <xf numFmtId="0" fontId="74" fillId="0" borderId="0" xfId="0" applyFont="1" applyAlignment="1">
      <alignment vertical="center" wrapText="1"/>
    </xf>
    <xf numFmtId="0" fontId="72" fillId="0" borderId="12" xfId="0" applyFont="1" applyBorder="1" applyAlignment="1">
      <alignment horizontal="center" vertical="center" wrapText="1"/>
    </xf>
    <xf numFmtId="0" fontId="74" fillId="0" borderId="12" xfId="0" applyFont="1" applyBorder="1" applyAlignment="1">
      <alignment horizontal="center" vertical="center" wrapText="1"/>
    </xf>
    <xf numFmtId="0" fontId="41" fillId="39" borderId="11" xfId="0" applyFont="1" applyFill="1" applyBorder="1" applyAlignment="1">
      <alignment horizontal="center" vertical="center"/>
    </xf>
    <xf numFmtId="0" fontId="76" fillId="39" borderId="0" xfId="0" applyFont="1" applyFill="1" applyAlignment="1">
      <alignment horizontal="center" vertical="center"/>
    </xf>
    <xf numFmtId="0" fontId="3" fillId="39" borderId="0" xfId="0" applyFont="1" applyFill="1" applyAlignment="1">
      <alignment horizontal="center" vertical="center"/>
    </xf>
    <xf numFmtId="0" fontId="6" fillId="40" borderId="132" xfId="0" applyFont="1" applyFill="1" applyBorder="1" applyAlignment="1">
      <alignment horizontal="center" vertical="center" wrapText="1"/>
    </xf>
    <xf numFmtId="0" fontId="6" fillId="40" borderId="133" xfId="0" applyFont="1" applyFill="1" applyBorder="1" applyAlignment="1">
      <alignment horizontal="center" vertical="center" wrapText="1"/>
    </xf>
    <xf numFmtId="0" fontId="77" fillId="39" borderId="136" xfId="0" applyFont="1" applyFill="1" applyBorder="1" applyAlignment="1">
      <alignment horizontal="center" vertical="center" wrapText="1"/>
    </xf>
    <xf numFmtId="0" fontId="77" fillId="39" borderId="12" xfId="0" applyFont="1" applyFill="1" applyBorder="1" applyAlignment="1">
      <alignment horizontal="center" vertical="center" wrapText="1"/>
    </xf>
    <xf numFmtId="0" fontId="78" fillId="39" borderId="12" xfId="0" applyFont="1" applyFill="1" applyBorder="1" applyAlignment="1">
      <alignment horizontal="center" vertical="center" wrapText="1"/>
    </xf>
    <xf numFmtId="0" fontId="3" fillId="39" borderId="0" xfId="0" applyFont="1" applyFill="1" applyAlignment="1">
      <alignment vertical="center"/>
    </xf>
    <xf numFmtId="0" fontId="82" fillId="0" borderId="0" xfId="0" applyFont="1" applyAlignment="1">
      <alignment vertical="center"/>
    </xf>
    <xf numFmtId="0" fontId="0" fillId="0" borderId="0" xfId="0" applyAlignment="1">
      <alignment horizontal="left" vertical="center" indent="1"/>
    </xf>
    <xf numFmtId="0" fontId="82" fillId="0" borderId="0" xfId="0" applyFont="1" applyAlignment="1">
      <alignment horizontal="left" vertical="center" indent="1"/>
    </xf>
    <xf numFmtId="0" fontId="3" fillId="0" borderId="0" xfId="12"/>
    <xf numFmtId="0" fontId="5" fillId="0" borderId="0" xfId="12" applyFont="1" applyAlignment="1">
      <alignment vertical="center"/>
    </xf>
    <xf numFmtId="0" fontId="84" fillId="2" borderId="5" xfId="12" applyFont="1" applyFill="1" applyBorder="1" applyAlignment="1">
      <alignment horizontal="centerContinuous"/>
    </xf>
    <xf numFmtId="0" fontId="84" fillId="2" borderId="0" xfId="12" applyFont="1" applyFill="1" applyAlignment="1">
      <alignment horizontal="centerContinuous"/>
    </xf>
    <xf numFmtId="0" fontId="85" fillId="0" borderId="0" xfId="12" applyFont="1"/>
    <xf numFmtId="0" fontId="86" fillId="0" borderId="0" xfId="12" applyFont="1"/>
    <xf numFmtId="0" fontId="6" fillId="0" borderId="0" xfId="12" applyFont="1"/>
    <xf numFmtId="0" fontId="6" fillId="0" borderId="0" xfId="12" applyFont="1" applyAlignment="1">
      <alignment horizontal="right"/>
    </xf>
    <xf numFmtId="0" fontId="3" fillId="35" borderId="3" xfId="12" applyFill="1" applyBorder="1"/>
    <xf numFmtId="0" fontId="3" fillId="35" borderId="19" xfId="12" applyFill="1" applyBorder="1"/>
    <xf numFmtId="0" fontId="3" fillId="35" borderId="10" xfId="12" applyFill="1" applyBorder="1"/>
    <xf numFmtId="0" fontId="87" fillId="2" borderId="0" xfId="12" applyFont="1" applyFill="1"/>
    <xf numFmtId="0" fontId="3" fillId="2" borderId="0" xfId="12" applyFill="1"/>
    <xf numFmtId="0" fontId="84" fillId="2" borderId="0" xfId="12" applyFont="1" applyFill="1" applyAlignment="1">
      <alignment horizontal="right"/>
    </xf>
    <xf numFmtId="0" fontId="3" fillId="35" borderId="2" xfId="12" applyFill="1" applyBorder="1"/>
    <xf numFmtId="0" fontId="3" fillId="35" borderId="123" xfId="12" applyFill="1" applyBorder="1"/>
    <xf numFmtId="0" fontId="3" fillId="35" borderId="128" xfId="12" applyFill="1" applyBorder="1"/>
    <xf numFmtId="0" fontId="88" fillId="0" borderId="0" xfId="12" applyFont="1"/>
    <xf numFmtId="0" fontId="3" fillId="7" borderId="2" xfId="12" applyFill="1" applyBorder="1"/>
    <xf numFmtId="0" fontId="3" fillId="7" borderId="123" xfId="12" applyFill="1" applyBorder="1"/>
    <xf numFmtId="0" fontId="3" fillId="7" borderId="128" xfId="12" applyFill="1" applyBorder="1"/>
    <xf numFmtId="0" fontId="6" fillId="41" borderId="2" xfId="12" applyFont="1" applyFill="1" applyBorder="1"/>
    <xf numFmtId="0" fontId="3" fillId="41" borderId="123" xfId="12" applyFill="1" applyBorder="1"/>
    <xf numFmtId="0" fontId="3" fillId="41" borderId="15" xfId="12" applyFill="1" applyBorder="1"/>
    <xf numFmtId="0" fontId="89" fillId="36" borderId="47" xfId="12" applyFont="1" applyFill="1" applyBorder="1"/>
    <xf numFmtId="0" fontId="89" fillId="36" borderId="139" xfId="12" applyFont="1" applyFill="1" applyBorder="1"/>
    <xf numFmtId="0" fontId="3" fillId="36" borderId="140" xfId="12" applyFill="1" applyBorder="1"/>
    <xf numFmtId="0" fontId="84" fillId="2" borderId="124" xfId="12" applyFont="1" applyFill="1" applyBorder="1" applyAlignment="1">
      <alignment horizontal="centerContinuous"/>
    </xf>
    <xf numFmtId="0" fontId="87" fillId="2" borderId="124" xfId="12" applyFont="1" applyFill="1" applyBorder="1" applyAlignment="1">
      <alignment horizontal="centerContinuous"/>
    </xf>
    <xf numFmtId="0" fontId="87" fillId="2" borderId="107" xfId="12" applyFont="1" applyFill="1" applyBorder="1" applyAlignment="1">
      <alignment horizontal="centerContinuous"/>
    </xf>
    <xf numFmtId="0" fontId="87" fillId="2" borderId="10" xfId="12" applyFont="1" applyFill="1" applyBorder="1"/>
    <xf numFmtId="0" fontId="15" fillId="35" borderId="55" xfId="12" applyFont="1" applyFill="1" applyBorder="1" applyAlignment="1">
      <alignment textRotation="90" wrapText="1"/>
    </xf>
    <xf numFmtId="0" fontId="15" fillId="35" borderId="56" xfId="12" applyFont="1" applyFill="1" applyBorder="1" applyAlignment="1">
      <alignment textRotation="90"/>
    </xf>
    <xf numFmtId="0" fontId="3" fillId="35" borderId="56" xfId="12" applyFill="1" applyBorder="1" applyAlignment="1">
      <alignment textRotation="90"/>
    </xf>
    <xf numFmtId="0" fontId="3" fillId="35" borderId="82" xfId="12" applyFill="1" applyBorder="1" applyAlignment="1">
      <alignment textRotation="90"/>
    </xf>
    <xf numFmtId="0" fontId="3" fillId="0" borderId="0" xfId="12" applyAlignment="1">
      <alignment textRotation="90"/>
    </xf>
    <xf numFmtId="0" fontId="6" fillId="41" borderId="2" xfId="12" applyFont="1" applyFill="1" applyBorder="1" applyAlignment="1">
      <alignment horizontal="center"/>
    </xf>
    <xf numFmtId="0" fontId="6" fillId="41" borderId="1" xfId="12" applyFont="1" applyFill="1" applyBorder="1" applyAlignment="1">
      <alignment horizontal="center"/>
    </xf>
    <xf numFmtId="0" fontId="90" fillId="33" borderId="2" xfId="12" applyFont="1" applyFill="1" applyBorder="1" applyAlignment="1">
      <alignment horizontal="center"/>
    </xf>
    <xf numFmtId="0" fontId="6" fillId="7" borderId="1" xfId="12" applyFont="1" applyFill="1" applyBorder="1" applyAlignment="1">
      <alignment horizontal="center"/>
    </xf>
    <xf numFmtId="0" fontId="3" fillId="20" borderId="1" xfId="12" applyFill="1" applyBorder="1" applyAlignment="1">
      <alignment horizontal="center"/>
    </xf>
    <xf numFmtId="0" fontId="90" fillId="33" borderId="1" xfId="12" applyFont="1" applyFill="1" applyBorder="1" applyAlignment="1">
      <alignment horizontal="center"/>
    </xf>
    <xf numFmtId="0" fontId="3" fillId="7" borderId="1" xfId="12" applyFill="1" applyBorder="1" applyAlignment="1">
      <alignment horizontal="center"/>
    </xf>
    <xf numFmtId="0" fontId="89" fillId="36" borderId="1" xfId="12" applyFont="1" applyFill="1" applyBorder="1" applyAlignment="1">
      <alignment horizontal="center"/>
    </xf>
    <xf numFmtId="0" fontId="54" fillId="7" borderId="1" xfId="12" applyFont="1" applyFill="1" applyBorder="1" applyAlignment="1">
      <alignment horizontal="center"/>
    </xf>
    <xf numFmtId="0" fontId="3" fillId="41" borderId="1" xfId="12" applyFill="1" applyBorder="1" applyAlignment="1">
      <alignment horizontal="center"/>
    </xf>
    <xf numFmtId="0" fontId="6" fillId="42" borderId="1" xfId="12" applyFont="1" applyFill="1" applyBorder="1" applyAlignment="1">
      <alignment horizontal="center"/>
    </xf>
    <xf numFmtId="0" fontId="3" fillId="0" borderId="109" xfId="12" applyBorder="1" applyAlignment="1">
      <alignment horizontal="center"/>
    </xf>
    <xf numFmtId="0" fontId="91" fillId="33" borderId="1" xfId="12" applyFont="1" applyFill="1" applyBorder="1" applyAlignment="1">
      <alignment horizontal="center"/>
    </xf>
    <xf numFmtId="0" fontId="83" fillId="7" borderId="1" xfId="12" applyFont="1" applyFill="1" applyBorder="1" applyAlignment="1">
      <alignment horizontal="center"/>
    </xf>
    <xf numFmtId="0" fontId="3" fillId="0" borderId="65" xfId="12" applyBorder="1" applyAlignment="1">
      <alignment horizontal="center"/>
    </xf>
    <xf numFmtId="0" fontId="54" fillId="41" borderId="1" xfId="12" applyFont="1" applyFill="1" applyBorder="1" applyAlignment="1">
      <alignment horizontal="center"/>
    </xf>
    <xf numFmtId="0" fontId="83" fillId="41" borderId="1" xfId="12" applyFont="1" applyFill="1" applyBorder="1" applyAlignment="1">
      <alignment horizontal="center"/>
    </xf>
    <xf numFmtId="0" fontId="6" fillId="20" borderId="2" xfId="12" applyFont="1" applyFill="1" applyBorder="1" applyAlignment="1">
      <alignment horizontal="center"/>
    </xf>
    <xf numFmtId="0" fontId="6" fillId="20" borderId="1" xfId="12" applyFont="1" applyFill="1" applyBorder="1" applyAlignment="1">
      <alignment horizontal="center"/>
    </xf>
    <xf numFmtId="0" fontId="54" fillId="20" borderId="1" xfId="12" applyFont="1" applyFill="1" applyBorder="1" applyAlignment="1">
      <alignment horizontal="center"/>
    </xf>
    <xf numFmtId="0" fontId="3" fillId="0" borderId="0" xfId="12" applyAlignment="1">
      <alignment horizontal="center"/>
    </xf>
    <xf numFmtId="0" fontId="27" fillId="0" borderId="1" xfId="12" applyFont="1" applyBorder="1" applyAlignment="1">
      <alignment horizontal="center" vertical="center"/>
    </xf>
    <xf numFmtId="0" fontId="31" fillId="0" borderId="1" xfId="12" applyFont="1" applyBorder="1" applyAlignment="1">
      <alignment horizontal="left" vertical="center" wrapText="1"/>
    </xf>
    <xf numFmtId="0" fontId="92" fillId="0" borderId="1" xfId="12" applyFont="1" applyBorder="1" applyAlignment="1">
      <alignment horizontal="left" vertical="center" wrapText="1" indent="1"/>
    </xf>
    <xf numFmtId="0" fontId="3" fillId="0" borderId="1" xfId="12" applyBorder="1" applyAlignment="1">
      <alignment horizontal="center"/>
    </xf>
    <xf numFmtId="0" fontId="27" fillId="0" borderId="0" xfId="12" applyFont="1" applyAlignment="1">
      <alignment horizontal="center" vertical="center"/>
    </xf>
    <xf numFmtId="0" fontId="93" fillId="0" borderId="12" xfId="0" applyFont="1" applyBorder="1" applyAlignment="1">
      <alignment horizontal="center" vertical="center" wrapText="1"/>
    </xf>
    <xf numFmtId="0" fontId="93" fillId="0" borderId="125" xfId="0" applyFont="1" applyBorder="1" applyAlignment="1">
      <alignment horizontal="center" vertical="center" wrapText="1"/>
    </xf>
    <xf numFmtId="0" fontId="94" fillId="0" borderId="12" xfId="0" applyFont="1" applyBorder="1" applyAlignment="1">
      <alignment horizontal="center" vertical="center" wrapText="1"/>
    </xf>
    <xf numFmtId="0" fontId="27" fillId="6" borderId="1" xfId="12" applyFont="1" applyFill="1" applyBorder="1" applyAlignment="1">
      <alignment horizontal="center" vertical="center"/>
    </xf>
    <xf numFmtId="0" fontId="56" fillId="6" borderId="56" xfId="12" applyFont="1" applyFill="1" applyBorder="1" applyAlignment="1">
      <alignment horizontal="center"/>
    </xf>
    <xf numFmtId="0" fontId="11" fillId="38" borderId="69" xfId="12" applyFont="1" applyFill="1" applyBorder="1" applyAlignment="1">
      <alignment horizontal="center" vertical="center" wrapText="1"/>
    </xf>
    <xf numFmtId="0" fontId="11" fillId="38" borderId="132" xfId="12" applyFont="1" applyFill="1" applyBorder="1" applyAlignment="1">
      <alignment horizontal="left" vertical="center" wrapText="1" indent="1"/>
    </xf>
    <xf numFmtId="0" fontId="95" fillId="0" borderId="0" xfId="12" applyFont="1"/>
    <xf numFmtId="0" fontId="23" fillId="0" borderId="0" xfId="0" applyFont="1" applyAlignment="1">
      <alignment horizontal="center" vertical="center"/>
    </xf>
    <xf numFmtId="0" fontId="37" fillId="5" borderId="88" xfId="0" applyFont="1" applyFill="1" applyBorder="1" applyAlignment="1">
      <alignment horizontal="right" vertical="center" wrapText="1"/>
    </xf>
    <xf numFmtId="0" fontId="37" fillId="5" borderId="11" xfId="0" applyFont="1" applyFill="1" applyBorder="1" applyAlignment="1">
      <alignment horizontal="right" vertical="center" wrapText="1"/>
    </xf>
    <xf numFmtId="0" fontId="37" fillId="5" borderId="16" xfId="0" applyFont="1" applyFill="1" applyBorder="1" applyAlignment="1">
      <alignment horizontal="right" vertical="center" wrapText="1"/>
    </xf>
    <xf numFmtId="0" fontId="40" fillId="0" borderId="69" xfId="0" applyFont="1" applyBorder="1" applyAlignment="1">
      <alignment horizontal="center"/>
    </xf>
    <xf numFmtId="0" fontId="40" fillId="0" borderId="16" xfId="0" applyFont="1" applyBorder="1" applyAlignment="1">
      <alignment horizontal="center"/>
    </xf>
    <xf numFmtId="0" fontId="41" fillId="22" borderId="93" xfId="0" applyFont="1" applyFill="1" applyBorder="1" applyAlignment="1">
      <alignment horizontal="right" vertical="center"/>
    </xf>
    <xf numFmtId="0" fontId="41" fillId="22" borderId="94" xfId="0" applyFont="1" applyFill="1" applyBorder="1" applyAlignment="1">
      <alignment horizontal="right" vertical="center"/>
    </xf>
    <xf numFmtId="0" fontId="47" fillId="22" borderId="69" xfId="0" applyFont="1" applyFill="1" applyBorder="1" applyAlignment="1">
      <alignment horizontal="center" vertical="center"/>
    </xf>
    <xf numFmtId="0" fontId="47" fillId="22" borderId="16" xfId="0" applyFont="1" applyFill="1" applyBorder="1" applyAlignment="1">
      <alignment horizontal="center" vertical="center"/>
    </xf>
    <xf numFmtId="0" fontId="47" fillId="22" borderId="8" xfId="0" applyFont="1" applyFill="1" applyBorder="1" applyAlignment="1">
      <alignment horizontal="center" vertical="center"/>
    </xf>
    <xf numFmtId="0" fontId="51" fillId="26" borderId="69" xfId="0" applyFont="1" applyFill="1" applyBorder="1" applyAlignment="1">
      <alignment horizontal="center"/>
    </xf>
    <xf numFmtId="0" fontId="51" fillId="26" borderId="16" xfId="0" applyFont="1" applyFill="1" applyBorder="1" applyAlignment="1">
      <alignment horizontal="center"/>
    </xf>
    <xf numFmtId="0" fontId="51" fillId="26" borderId="8" xfId="0" applyFont="1" applyFill="1" applyBorder="1" applyAlignment="1">
      <alignment horizontal="center"/>
    </xf>
    <xf numFmtId="0" fontId="27" fillId="20" borderId="69" xfId="0" applyFont="1" applyFill="1" applyBorder="1" applyAlignment="1">
      <alignment horizontal="center"/>
    </xf>
    <xf numFmtId="0" fontId="27" fillId="20" borderId="16" xfId="0" applyFont="1" applyFill="1" applyBorder="1" applyAlignment="1">
      <alignment horizontal="center"/>
    </xf>
    <xf numFmtId="0" fontId="27" fillId="20" borderId="8" xfId="0" applyFont="1" applyFill="1" applyBorder="1" applyAlignment="1">
      <alignment horizontal="center"/>
    </xf>
    <xf numFmtId="0" fontId="41" fillId="11" borderId="69" xfId="0" applyFont="1" applyFill="1" applyBorder="1" applyAlignment="1">
      <alignment horizontal="center"/>
    </xf>
    <xf numFmtId="0" fontId="41" fillId="11" borderId="16" xfId="0" applyFont="1" applyFill="1" applyBorder="1" applyAlignment="1">
      <alignment horizontal="center"/>
    </xf>
    <xf numFmtId="0" fontId="41" fillId="11" borderId="8" xfId="0" applyFont="1" applyFill="1" applyBorder="1" applyAlignment="1">
      <alignment horizontal="center"/>
    </xf>
    <xf numFmtId="0" fontId="6" fillId="12" borderId="69" xfId="0" applyFont="1" applyFill="1" applyBorder="1" applyAlignment="1">
      <alignment horizontal="center"/>
    </xf>
    <xf numFmtId="0" fontId="6" fillId="12" borderId="8" xfId="0" applyFont="1" applyFill="1" applyBorder="1" applyAlignment="1">
      <alignment horizontal="center"/>
    </xf>
    <xf numFmtId="0" fontId="55" fillId="24" borderId="0" xfId="15" applyFont="1" applyAlignment="1">
      <alignment horizontal="left"/>
    </xf>
    <xf numFmtId="0" fontId="55" fillId="24" borderId="0" xfId="15" applyFont="1" applyAlignment="1">
      <alignment horizontal="center"/>
    </xf>
    <xf numFmtId="0" fontId="18" fillId="24" borderId="0" xfId="15" applyAlignment="1">
      <alignment horizontal="center"/>
    </xf>
    <xf numFmtId="0" fontId="0" fillId="0" borderId="84" xfId="0" applyBorder="1" applyAlignment="1">
      <alignment horizontal="left" vertical="top"/>
    </xf>
    <xf numFmtId="0" fontId="0" fillId="0" borderId="14" xfId="0" applyBorder="1" applyAlignment="1">
      <alignment horizontal="left" vertical="top"/>
    </xf>
    <xf numFmtId="0" fontId="0" fillId="0" borderId="123" xfId="0" applyBorder="1" applyAlignment="1">
      <alignment horizontal="left" vertical="top"/>
    </xf>
    <xf numFmtId="0" fontId="64" fillId="30" borderId="114" xfId="0" applyFont="1" applyFill="1" applyBorder="1" applyAlignment="1">
      <alignment horizontal="center"/>
    </xf>
    <xf numFmtId="0" fontId="64" fillId="30" borderId="115" xfId="0" applyFont="1" applyFill="1" applyBorder="1" applyAlignment="1">
      <alignment horizontal="center"/>
    </xf>
    <xf numFmtId="0" fontId="64" fillId="30" borderId="116" xfId="0" applyFont="1" applyFill="1" applyBorder="1" applyAlignment="1">
      <alignment horizontal="center"/>
    </xf>
    <xf numFmtId="0" fontId="66" fillId="3" borderId="117" xfId="0" applyFont="1" applyFill="1" applyBorder="1" applyAlignment="1">
      <alignment horizontal="left" vertical="center"/>
    </xf>
    <xf numFmtId="0" fontId="66" fillId="3" borderId="118" xfId="0" applyFont="1" applyFill="1" applyBorder="1" applyAlignment="1">
      <alignment horizontal="left" vertical="center"/>
    </xf>
    <xf numFmtId="0" fontId="6" fillId="0" borderId="118" xfId="0" applyFont="1" applyBorder="1" applyAlignment="1">
      <alignment horizontal="left" vertical="center"/>
    </xf>
    <xf numFmtId="0" fontId="6" fillId="0" borderId="119" xfId="0" applyFont="1" applyBorder="1" applyAlignment="1">
      <alignment horizontal="left" vertical="center"/>
    </xf>
    <xf numFmtId="0" fontId="66" fillId="3" borderId="120" xfId="0" applyFont="1" applyFill="1" applyBorder="1" applyAlignment="1">
      <alignment horizontal="left" vertical="center"/>
    </xf>
    <xf numFmtId="0" fontId="66" fillId="3" borderId="121" xfId="0" applyFont="1" applyFill="1" applyBorder="1" applyAlignment="1">
      <alignment horizontal="left" vertical="center"/>
    </xf>
    <xf numFmtId="14" fontId="6" fillId="0" borderId="121" xfId="0" applyNumberFormat="1" applyFont="1" applyBorder="1" applyAlignment="1">
      <alignment horizontal="left" vertical="center"/>
    </xf>
    <xf numFmtId="14" fontId="6" fillId="0" borderId="122" xfId="0" applyNumberFormat="1" applyFont="1" applyBorder="1" applyAlignment="1">
      <alignment horizontal="left" vertical="center"/>
    </xf>
    <xf numFmtId="0" fontId="66" fillId="3" borderId="84" xfId="0" applyFont="1" applyFill="1" applyBorder="1" applyAlignment="1">
      <alignment horizontal="center" vertical="center"/>
    </xf>
    <xf numFmtId="0" fontId="66" fillId="3" borderId="14" xfId="0" applyFont="1" applyFill="1" applyBorder="1" applyAlignment="1">
      <alignment horizontal="center" vertical="center"/>
    </xf>
    <xf numFmtId="0" fontId="66" fillId="3" borderId="123" xfId="0" applyFont="1" applyFill="1" applyBorder="1" applyAlignment="1">
      <alignment horizontal="center" vertical="center"/>
    </xf>
    <xf numFmtId="14" fontId="0" fillId="0" borderId="84" xfId="0" applyNumberFormat="1" applyBorder="1" applyAlignment="1">
      <alignment horizontal="left" vertical="top"/>
    </xf>
    <xf numFmtId="0" fontId="67" fillId="0" borderId="107" xfId="0" applyFont="1" applyBorder="1" applyAlignment="1">
      <alignment horizontal="center" vertical="center" wrapText="1"/>
    </xf>
    <xf numFmtId="0" fontId="67" fillId="0" borderId="9" xfId="0" applyFont="1" applyBorder="1" applyAlignment="1">
      <alignment horizontal="center" vertical="center" wrapText="1"/>
    </xf>
    <xf numFmtId="0" fontId="67" fillId="0" borderId="5" xfId="0" applyFont="1" applyBorder="1" applyAlignment="1">
      <alignment horizontal="center" vertical="center" wrapText="1"/>
    </xf>
    <xf numFmtId="0" fontId="67" fillId="0" borderId="0" xfId="0" applyFont="1" applyAlignment="1">
      <alignment horizontal="center" vertical="center" wrapText="1"/>
    </xf>
    <xf numFmtId="0" fontId="0" fillId="31" borderId="55" xfId="0" applyFill="1" applyBorder="1" applyAlignment="1">
      <alignment horizontal="center" wrapText="1"/>
    </xf>
    <xf numFmtId="0" fontId="0" fillId="31" borderId="82" xfId="0" applyFill="1" applyBorder="1" applyAlignment="1">
      <alignment horizontal="center" wrapText="1"/>
    </xf>
    <xf numFmtId="0" fontId="0" fillId="31" borderId="69" xfId="0" applyFill="1" applyBorder="1" applyAlignment="1">
      <alignment horizontal="center" wrapText="1"/>
    </xf>
    <xf numFmtId="0" fontId="0" fillId="31" borderId="8" xfId="0" applyFill="1" applyBorder="1" applyAlignment="1">
      <alignment horizontal="center" wrapText="1"/>
    </xf>
    <xf numFmtId="0" fontId="67" fillId="0" borderId="108" xfId="0" applyFont="1" applyBorder="1" applyAlignment="1">
      <alignment horizontal="center" vertical="center" wrapText="1"/>
    </xf>
    <xf numFmtId="0" fontId="67" fillId="0" borderId="11" xfId="0" applyFont="1" applyBorder="1" applyAlignment="1">
      <alignment horizontal="center" vertical="center" wrapText="1"/>
    </xf>
    <xf numFmtId="0" fontId="68" fillId="32" borderId="124" xfId="0" applyFont="1" applyFill="1" applyBorder="1" applyAlignment="1">
      <alignment horizontal="center" vertical="center" wrapText="1"/>
    </xf>
    <xf numFmtId="0" fontId="68" fillId="32" borderId="125" xfId="0" applyFont="1" applyFill="1" applyBorder="1" applyAlignment="1">
      <alignment horizontal="center" vertical="center" wrapText="1"/>
    </xf>
    <xf numFmtId="0" fontId="68" fillId="32" borderId="69" xfId="0" applyFont="1" applyFill="1" applyBorder="1" applyAlignment="1">
      <alignment horizontal="center" vertical="center" wrapText="1"/>
    </xf>
    <xf numFmtId="0" fontId="68" fillId="32" borderId="16" xfId="0" applyFont="1" applyFill="1" applyBorder="1" applyAlignment="1">
      <alignment horizontal="center" vertical="center" wrapText="1"/>
    </xf>
    <xf numFmtId="0" fontId="68" fillId="32" borderId="8" xfId="0" applyFont="1" applyFill="1" applyBorder="1" applyAlignment="1">
      <alignment horizontal="center" vertical="center" wrapText="1"/>
    </xf>
    <xf numFmtId="0" fontId="68" fillId="32" borderId="10" xfId="0" applyFont="1" applyFill="1" applyBorder="1" applyAlignment="1" applyProtection="1">
      <alignment horizontal="center" vertical="center" wrapText="1"/>
      <protection locked="0"/>
    </xf>
    <xf numFmtId="0" fontId="68" fillId="32" borderId="12" xfId="0" applyFont="1" applyFill="1" applyBorder="1" applyAlignment="1" applyProtection="1">
      <alignment horizontal="center" vertical="center" wrapText="1"/>
      <protection locked="0"/>
    </xf>
    <xf numFmtId="0" fontId="69" fillId="32" borderId="124" xfId="0" applyFont="1" applyFill="1" applyBorder="1" applyAlignment="1" applyProtection="1">
      <alignment horizontal="center" vertical="center" wrapText="1"/>
      <protection locked="0"/>
    </xf>
    <xf numFmtId="0" fontId="69" fillId="32" borderId="127" xfId="0" applyFont="1" applyFill="1" applyBorder="1" applyAlignment="1" applyProtection="1">
      <alignment horizontal="center" vertical="center" wrapText="1"/>
      <protection locked="0"/>
    </xf>
    <xf numFmtId="0" fontId="67" fillId="0" borderId="10" xfId="0" applyFont="1" applyBorder="1" applyAlignment="1">
      <alignment horizontal="center" vertical="center" wrapText="1"/>
    </xf>
    <xf numFmtId="0" fontId="67" fillId="0" borderId="6" xfId="0" applyFont="1" applyBorder="1" applyAlignment="1">
      <alignment horizontal="center" vertical="center" wrapText="1"/>
    </xf>
    <xf numFmtId="0" fontId="67" fillId="0" borderId="12" xfId="0" applyFont="1" applyBorder="1" applyAlignment="1">
      <alignment horizontal="center" vertical="center" wrapText="1"/>
    </xf>
    <xf numFmtId="0" fontId="68" fillId="32" borderId="124" xfId="0" applyFont="1" applyFill="1" applyBorder="1" applyAlignment="1" applyProtection="1">
      <alignment horizontal="center" vertical="center" wrapText="1"/>
      <protection locked="0"/>
    </xf>
    <xf numFmtId="0" fontId="68" fillId="32" borderId="125" xfId="0" applyFont="1" applyFill="1" applyBorder="1" applyAlignment="1" applyProtection="1">
      <alignment horizontal="center" vertical="center" wrapText="1"/>
      <protection locked="0"/>
    </xf>
    <xf numFmtId="0" fontId="68" fillId="32" borderId="127" xfId="0" applyFont="1" applyFill="1" applyBorder="1" applyAlignment="1" applyProtection="1">
      <alignment horizontal="center" vertical="center" wrapText="1"/>
      <protection locked="0"/>
    </xf>
    <xf numFmtId="0" fontId="68" fillId="34" borderId="124" xfId="0" applyFont="1" applyFill="1" applyBorder="1" applyAlignment="1" applyProtection="1">
      <alignment horizontal="center" vertical="center" wrapText="1"/>
      <protection locked="0"/>
    </xf>
    <xf numFmtId="0" fontId="68" fillId="34" borderId="125" xfId="0" applyFont="1" applyFill="1" applyBorder="1" applyAlignment="1" applyProtection="1">
      <alignment horizontal="center" vertical="center" wrapText="1"/>
      <protection locked="0"/>
    </xf>
    <xf numFmtId="49" fontId="69" fillId="34" borderId="107" xfId="0" applyNumberFormat="1" applyFont="1" applyFill="1" applyBorder="1" applyAlignment="1" applyProtection="1">
      <alignment horizontal="center" vertical="center" wrapText="1"/>
      <protection locked="0"/>
    </xf>
    <xf numFmtId="49" fontId="69" fillId="34" borderId="9" xfId="0" applyNumberFormat="1" applyFont="1" applyFill="1" applyBorder="1" applyAlignment="1" applyProtection="1">
      <alignment horizontal="center" vertical="center" wrapText="1"/>
      <protection locked="0"/>
    </xf>
    <xf numFmtId="49" fontId="69" fillId="34" borderId="10" xfId="0" applyNumberFormat="1" applyFont="1" applyFill="1" applyBorder="1" applyAlignment="1" applyProtection="1">
      <alignment horizontal="center" vertical="center" wrapText="1"/>
      <protection locked="0"/>
    </xf>
    <xf numFmtId="0" fontId="68" fillId="32" borderId="6" xfId="0" applyFont="1" applyFill="1" applyBorder="1" applyAlignment="1" applyProtection="1">
      <alignment horizontal="center" vertical="center" wrapText="1"/>
      <protection locked="0"/>
    </xf>
    <xf numFmtId="0" fontId="3" fillId="39" borderId="9" xfId="0" applyFont="1" applyFill="1" applyBorder="1" applyAlignment="1">
      <alignment horizontal="center" vertical="center"/>
    </xf>
    <xf numFmtId="0" fontId="3" fillId="39" borderId="16" xfId="0" applyFont="1" applyFill="1" applyBorder="1" applyAlignment="1">
      <alignment horizontal="center" vertical="center"/>
    </xf>
    <xf numFmtId="0" fontId="3" fillId="39" borderId="0" xfId="0" applyFont="1" applyFill="1" applyAlignment="1">
      <alignment horizontal="center" vertical="center"/>
    </xf>
    <xf numFmtId="0" fontId="67" fillId="38" borderId="69" xfId="0" applyFont="1" applyFill="1" applyBorder="1" applyAlignment="1">
      <alignment horizontal="center" vertical="center"/>
    </xf>
    <xf numFmtId="0" fontId="67" fillId="38" borderId="16" xfId="0" applyFont="1" applyFill="1" applyBorder="1" applyAlignment="1">
      <alignment horizontal="center" vertical="center"/>
    </xf>
    <xf numFmtId="0" fontId="67" fillId="38" borderId="130" xfId="0" applyFont="1" applyFill="1" applyBorder="1" applyAlignment="1">
      <alignment horizontal="center" vertical="center"/>
    </xf>
    <xf numFmtId="0" fontId="74" fillId="0" borderId="131" xfId="0" applyFont="1" applyBorder="1" applyAlignment="1">
      <alignment vertical="center" wrapText="1"/>
    </xf>
    <xf numFmtId="0" fontId="74" fillId="0" borderId="0" xfId="0" applyFont="1" applyAlignment="1">
      <alignment vertical="center" wrapText="1"/>
    </xf>
    <xf numFmtId="0" fontId="41" fillId="39" borderId="69" xfId="0" applyFont="1" applyFill="1" applyBorder="1" applyAlignment="1">
      <alignment horizontal="center" vertical="center"/>
    </xf>
    <xf numFmtId="0" fontId="41" fillId="39" borderId="16" xfId="0" applyFont="1" applyFill="1" applyBorder="1" applyAlignment="1">
      <alignment horizontal="center" vertical="center"/>
    </xf>
    <xf numFmtId="0" fontId="41" fillId="39" borderId="130" xfId="0" applyFont="1" applyFill="1" applyBorder="1" applyAlignment="1">
      <alignment horizontal="center" vertical="center"/>
    </xf>
    <xf numFmtId="0" fontId="6" fillId="40" borderId="134" xfId="0" applyFont="1" applyFill="1" applyBorder="1" applyAlignment="1">
      <alignment horizontal="center" vertical="center" wrapText="1"/>
    </xf>
    <xf numFmtId="0" fontId="6" fillId="40" borderId="133" xfId="0" applyFont="1" applyFill="1" applyBorder="1" applyAlignment="1">
      <alignment horizontal="center" vertical="center" wrapText="1"/>
    </xf>
    <xf numFmtId="0" fontId="6" fillId="40" borderId="69" xfId="0" applyFont="1" applyFill="1" applyBorder="1" applyAlignment="1">
      <alignment horizontal="center" vertical="center" wrapText="1"/>
    </xf>
    <xf numFmtId="0" fontId="6" fillId="40" borderId="16" xfId="0" applyFont="1" applyFill="1" applyBorder="1" applyAlignment="1">
      <alignment horizontal="center" vertical="center" wrapText="1"/>
    </xf>
    <xf numFmtId="0" fontId="6" fillId="40" borderId="8" xfId="0" applyFont="1" applyFill="1" applyBorder="1" applyAlignment="1">
      <alignment horizontal="center" vertical="center" wrapText="1"/>
    </xf>
    <xf numFmtId="0" fontId="6" fillId="40" borderId="135" xfId="0" applyFont="1" applyFill="1" applyBorder="1" applyAlignment="1">
      <alignment horizontal="center" vertical="center" wrapText="1"/>
    </xf>
    <xf numFmtId="0" fontId="77" fillId="39" borderId="69" xfId="0" applyFont="1" applyFill="1" applyBorder="1" applyAlignment="1">
      <alignment horizontal="center" vertical="center" wrapText="1"/>
    </xf>
    <xf numFmtId="0" fontId="77" fillId="39" borderId="8" xfId="0" applyFont="1" applyFill="1" applyBorder="1" applyAlignment="1">
      <alignment horizontal="center" vertical="center" wrapText="1"/>
    </xf>
    <xf numFmtId="0" fontId="77" fillId="39" borderId="16" xfId="0" applyFont="1" applyFill="1" applyBorder="1" applyAlignment="1">
      <alignment horizontal="center" vertical="center" wrapText="1"/>
    </xf>
    <xf numFmtId="14" fontId="77" fillId="39" borderId="69" xfId="0" applyNumberFormat="1" applyFont="1" applyFill="1" applyBorder="1" applyAlignment="1">
      <alignment horizontal="center" vertical="center" wrapText="1"/>
    </xf>
    <xf numFmtId="0" fontId="77" fillId="39" borderId="17" xfId="0" applyFont="1" applyFill="1" applyBorder="1" applyAlignment="1">
      <alignment horizontal="center" vertical="center" wrapText="1"/>
    </xf>
    <xf numFmtId="0" fontId="6" fillId="40" borderId="130" xfId="0" applyFont="1" applyFill="1" applyBorder="1" applyAlignment="1">
      <alignment horizontal="center" vertical="center" wrapText="1"/>
    </xf>
    <xf numFmtId="0" fontId="6" fillId="40" borderId="137" xfId="0" applyFont="1" applyFill="1" applyBorder="1" applyAlignment="1">
      <alignment horizontal="center" vertical="center" wrapText="1"/>
    </xf>
    <xf numFmtId="0" fontId="79" fillId="39" borderId="69" xfId="0" applyFont="1" applyFill="1" applyBorder="1" applyAlignment="1">
      <alignment vertical="center" wrapText="1"/>
    </xf>
    <xf numFmtId="0" fontId="79" fillId="39" borderId="16" xfId="0" applyFont="1" applyFill="1" applyBorder="1" applyAlignment="1">
      <alignment vertical="center" wrapText="1"/>
    </xf>
    <xf numFmtId="0" fontId="79" fillId="39" borderId="130" xfId="0" applyFont="1" applyFill="1" applyBorder="1" applyAlignment="1">
      <alignment vertical="center" wrapText="1"/>
    </xf>
    <xf numFmtId="0" fontId="3" fillId="39" borderId="138" xfId="0" applyFont="1" applyFill="1" applyBorder="1" applyAlignment="1">
      <alignment vertical="center"/>
    </xf>
    <xf numFmtId="0" fontId="3" fillId="39" borderId="9" xfId="0" applyFont="1" applyFill="1" applyBorder="1" applyAlignment="1">
      <alignment vertical="center"/>
    </xf>
    <xf numFmtId="0" fontId="15" fillId="35" borderId="18" xfId="12" applyFont="1" applyFill="1" applyBorder="1" applyAlignment="1">
      <alignment horizontal="left"/>
    </xf>
    <xf numFmtId="0" fontId="15" fillId="35" borderId="19" xfId="12" applyFont="1" applyFill="1" applyBorder="1" applyAlignment="1">
      <alignment horizontal="left"/>
    </xf>
    <xf numFmtId="0" fontId="15" fillId="35" borderId="20" xfId="12" applyFont="1" applyFill="1" applyBorder="1" applyAlignment="1">
      <alignment horizontal="left"/>
    </xf>
    <xf numFmtId="0" fontId="15" fillId="35" borderId="13" xfId="12" applyFont="1" applyFill="1" applyBorder="1" applyAlignment="1">
      <alignment horizontal="left"/>
    </xf>
    <xf numFmtId="0" fontId="15" fillId="35" borderId="14" xfId="12" applyFont="1" applyFill="1" applyBorder="1" applyAlignment="1">
      <alignment horizontal="left"/>
    </xf>
    <xf numFmtId="0" fontId="15" fillId="35" borderId="15" xfId="12" applyFont="1" applyFill="1" applyBorder="1" applyAlignment="1">
      <alignment horizontal="left"/>
    </xf>
    <xf numFmtId="0" fontId="89" fillId="38" borderId="55" xfId="12" applyFont="1" applyFill="1" applyBorder="1" applyAlignment="1">
      <alignment horizontal="center"/>
    </xf>
    <xf numFmtId="0" fontId="89" fillId="38" borderId="56" xfId="12" applyFont="1" applyFill="1" applyBorder="1" applyAlignment="1">
      <alignment horizontal="center"/>
    </xf>
    <xf numFmtId="0" fontId="89" fillId="38" borderId="82" xfId="12" applyFont="1" applyFill="1" applyBorder="1" applyAlignment="1">
      <alignment horizontal="center"/>
    </xf>
    <xf numFmtId="0" fontId="90" fillId="38" borderId="55" xfId="12" applyFont="1" applyFill="1" applyBorder="1" applyAlignment="1">
      <alignment horizontal="center"/>
    </xf>
    <xf numFmtId="0" fontId="90" fillId="38" borderId="82" xfId="12" applyFont="1" applyFill="1" applyBorder="1" applyAlignment="1">
      <alignment horizontal="center"/>
    </xf>
    <xf numFmtId="166" fontId="0" fillId="8" borderId="36" xfId="0" applyNumberFormat="1" applyFill="1" applyBorder="1" applyAlignment="1">
      <alignment horizontal="left" vertical="center" wrapText="1" indent="1"/>
    </xf>
    <xf numFmtId="166" fontId="0" fillId="8" borderId="37" xfId="0" applyNumberFormat="1" applyFill="1" applyBorder="1" applyAlignment="1">
      <alignment horizontal="left" vertical="center" wrapText="1" indent="1"/>
    </xf>
    <xf numFmtId="166" fontId="0" fillId="8" borderId="38" xfId="0" applyNumberFormat="1" applyFill="1" applyBorder="1" applyAlignment="1">
      <alignment horizontal="left" vertical="center" wrapText="1" indent="1"/>
    </xf>
    <xf numFmtId="0" fontId="21" fillId="0" borderId="22" xfId="10" applyAlignment="1">
      <alignment horizontal="right" indent="1"/>
    </xf>
    <xf numFmtId="0" fontId="21" fillId="0" borderId="34" xfId="10" applyBorder="1" applyAlignment="1">
      <alignment horizontal="right" indent="1"/>
    </xf>
    <xf numFmtId="165" fontId="17" fillId="0" borderId="35" xfId="3">
      <alignment horizontal="center" vertical="center"/>
    </xf>
    <xf numFmtId="0" fontId="5" fillId="4" borderId="13" xfId="0" applyFont="1" applyFill="1" applyBorder="1" applyAlignment="1">
      <alignment horizontal="center" vertical="center" wrapText="1"/>
    </xf>
    <xf numFmtId="0" fontId="0" fillId="0" borderId="14" xfId="0" applyBorder="1"/>
    <xf numFmtId="0" fontId="0" fillId="0" borderId="15" xfId="0" applyBorder="1"/>
    <xf numFmtId="0" fontId="5" fillId="4" borderId="13" xfId="0" quotePrefix="1"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1" fillId="3" borderId="17" xfId="0" applyFont="1" applyFill="1" applyBorder="1" applyAlignment="1">
      <alignment horizontal="center" vertical="center" wrapText="1"/>
    </xf>
    <xf numFmtId="0" fontId="7" fillId="0" borderId="18" xfId="0" applyFont="1" applyBorder="1" applyAlignment="1">
      <alignment horizontal="center" wrapText="1"/>
    </xf>
    <xf numFmtId="0" fontId="0" fillId="0" borderId="19" xfId="0" applyBorder="1"/>
    <xf numFmtId="0" fontId="0" fillId="0" borderId="20" xfId="0" applyBorder="1"/>
    <xf numFmtId="0" fontId="7" fillId="0" borderId="18" xfId="0" applyFont="1" applyBorder="1" applyAlignment="1">
      <alignment horizontal="center"/>
    </xf>
  </cellXfs>
  <cellStyles count="23">
    <cellStyle name="40% - Ênfase3 2" xfId="18" xr:uid="{2E1732D0-21A5-4FD5-A0FA-58950CD24079}"/>
    <cellStyle name="Data" xfId="1" xr:uid="{00000000-0005-0000-0000-000000000000}"/>
    <cellStyle name="Ênfase1 2" xfId="15" xr:uid="{BCDBC982-B276-447C-AA36-7BFFA994747A}"/>
    <cellStyle name="Ênfase2 2" xfId="17" xr:uid="{1F3BBD3C-EEE0-4C82-92A8-17D876527163}"/>
    <cellStyle name="Hiperlink" xfId="2" builtinId="8"/>
    <cellStyle name="Hiperlink 2" xfId="14" xr:uid="{0B5709AF-CB5E-4D1F-89FF-80FDEDCEA8EB}"/>
    <cellStyle name="Início do Projeto" xfId="3" xr:uid="{00000000-0005-0000-0000-000002000000}"/>
    <cellStyle name="Moeda" xfId="4" builtinId="4"/>
    <cellStyle name="Nome" xfId="5" xr:uid="{00000000-0005-0000-0000-000004000000}"/>
    <cellStyle name="Normal" xfId="0" builtinId="0"/>
    <cellStyle name="Normal 2" xfId="12" xr:uid="{4868D47C-44C3-4B12-8527-CC5A29EA757E}"/>
    <cellStyle name="Normal 3" xfId="16" xr:uid="{90DC9492-8557-4F8B-B218-614291E57F6F}"/>
    <cellStyle name="Normal 3 2 2" xfId="19" xr:uid="{76EDCE1B-A641-485D-ADEB-4C3E0F37A32E}"/>
    <cellStyle name="Normal 3 2 2 2" xfId="21" xr:uid="{D65145C1-C1B3-4827-BF34-D1ABAA0CBEB5}"/>
    <cellStyle name="Porcentagem" xfId="6" builtinId="5"/>
    <cellStyle name="Porcentagem 2" xfId="20" xr:uid="{DD4485E6-46B2-4568-8B1E-DB364132CBAA}"/>
    <cellStyle name="Porcentagem 3" xfId="22" xr:uid="{3638DE75-8947-442B-A288-D8B6ABBE6961}"/>
    <cellStyle name="Sheet Title" xfId="13" xr:uid="{389373B7-6F72-40BB-880D-F1BB75AD7E2F}"/>
    <cellStyle name="Tarefa" xfId="7" xr:uid="{00000000-0005-0000-0000-000007000000}"/>
    <cellStyle name="Título" xfId="8" builtinId="15"/>
    <cellStyle name="Título 2" xfId="9" builtinId="17"/>
    <cellStyle name="Título 3" xfId="10" builtinId="18"/>
    <cellStyle name="zTextoOculto" xfId="11" xr:uid="{00000000-0005-0000-0000-00000B000000}"/>
  </cellStyles>
  <dxfs count="31">
    <dxf>
      <fill>
        <patternFill>
          <bgColor theme="7"/>
        </patternFill>
      </fill>
      <border>
        <left/>
        <right/>
      </border>
    </dxf>
    <dxf>
      <fill>
        <patternFill>
          <bgColor theme="0" tint="-0.34998626667073579"/>
        </patternFill>
      </fill>
    </dxf>
    <dxf>
      <border>
        <left style="thin">
          <color rgb="FFC00000"/>
        </left>
        <right style="thin">
          <color rgb="FFC00000"/>
        </right>
      </border>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A679E7"/>
      <color rgb="FFDCCAF6"/>
      <color rgb="FF8961ED"/>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pivotCacheDefinition" Target="pivotCache/pivotCacheDefinition1.xml"/><Relationship Id="rId8" Type="http://schemas.openxmlformats.org/officeDocument/2006/relationships/worksheet" Target="worksheets/sheet8.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pt-BR"/>
        </a:p>
      </dgm:t>
    </dgm:pt>
    <dgm:pt modelId="{0102E4FE-20A8-44CB-9044-37DB2019EEF7}">
      <dgm:prSet phldrT="[Texto]" custT="1"/>
      <dgm:spPr>
        <a:solidFill>
          <a:schemeClr val="tx2"/>
        </a:solidFill>
      </dgm:spPr>
      <dgm:t>
        <a:bodyPr/>
        <a:lstStyle/>
        <a:p>
          <a:endParaRPr lang="pt-BR" sz="1050" b="1"/>
        </a:p>
      </dgm:t>
    </dgm:pt>
    <dgm:pt modelId="{2EDE4DE6-9005-475A-8D27-D82D00EB941C}" type="parTrans" cxnId="{8856D64A-8E4C-492F-98E8-19CF0A0ADB32}">
      <dgm:prSet/>
      <dgm:spPr/>
      <dgm:t>
        <a:bodyPr/>
        <a:lstStyle/>
        <a:p>
          <a:endParaRPr lang="pt-BR"/>
        </a:p>
      </dgm:t>
    </dgm:pt>
    <dgm:pt modelId="{E7C380F8-F032-4E10-986A-DDA7FC09E32D}" type="sibTrans" cxnId="{8856D64A-8E4C-492F-98E8-19CF0A0ADB32}">
      <dgm:prSet/>
      <dgm:spPr/>
      <dgm:t>
        <a:bodyPr/>
        <a:lstStyle/>
        <a:p>
          <a:endParaRPr lang="pt-BR"/>
        </a:p>
      </dgm:t>
    </dgm:pt>
    <dgm:pt modelId="{025397C8-278A-4FB7-A986-A1B487EA1563}">
      <dgm:prSet phldrT="[Texto]"/>
      <dgm:spPr>
        <a:solidFill>
          <a:schemeClr val="accent6">
            <a:lumMod val="75000"/>
          </a:schemeClr>
        </a:solidFill>
      </dgm:spPr>
      <dgm:t>
        <a:bodyPr/>
        <a:lstStyle/>
        <a:p>
          <a:r>
            <a:rPr lang="pt-BR" b="1"/>
            <a:t>INTEGRAÇÃO COM PLATAFORMA DA CANNOLI</a:t>
          </a:r>
        </a:p>
      </dgm:t>
    </dgm:pt>
    <dgm:pt modelId="{E9CCBF3B-F7D4-491B-83ED-166AFDD5DD30}" type="parTrans" cxnId="{0A56C6DB-31EB-4084-BBA3-788918B1E116}">
      <dgm:prSet/>
      <dgm:spPr/>
      <dgm:t>
        <a:bodyPr/>
        <a:lstStyle/>
        <a:p>
          <a:endParaRPr lang="pt-BR"/>
        </a:p>
      </dgm:t>
    </dgm:pt>
    <dgm:pt modelId="{03B4767C-E8A0-48F5-82FB-BC0CE0CB73C2}" type="sibTrans" cxnId="{0A56C6DB-31EB-4084-BBA3-788918B1E116}">
      <dgm:prSet/>
      <dgm:spPr/>
      <dgm:t>
        <a:bodyPr/>
        <a:lstStyle/>
        <a:p>
          <a:endParaRPr lang="pt-BR"/>
        </a:p>
      </dgm:t>
    </dgm:pt>
    <dgm:pt modelId="{8BB75C25-BB24-48E5-95A1-BDDD2AD67385}">
      <dgm:prSet phldrT="[Texto]"/>
      <dgm:spPr>
        <a:solidFill>
          <a:schemeClr val="accent6">
            <a:lumMod val="75000"/>
          </a:schemeClr>
        </a:solidFill>
      </dgm:spPr>
      <dgm:t>
        <a:bodyPr/>
        <a:lstStyle/>
        <a:p>
          <a:r>
            <a:rPr lang="pt-BR" b="1"/>
            <a:t>TESTES</a:t>
          </a:r>
        </a:p>
      </dgm:t>
    </dgm:pt>
    <dgm:pt modelId="{3F1B0426-4EA2-44D9-B786-B19B57D5CDEA}" type="parTrans" cxnId="{A458D9FF-02BE-46BB-A088-C5A5D4DCC19A}">
      <dgm:prSet/>
      <dgm:spPr/>
      <dgm:t>
        <a:bodyPr/>
        <a:lstStyle/>
        <a:p>
          <a:endParaRPr lang="pt-BR"/>
        </a:p>
      </dgm:t>
    </dgm:pt>
    <dgm:pt modelId="{287D1434-478B-40C7-839D-02EB6EAF6F1B}" type="sibTrans" cxnId="{A458D9FF-02BE-46BB-A088-C5A5D4DCC19A}">
      <dgm:prSet/>
      <dgm:spPr/>
      <dgm:t>
        <a:bodyPr/>
        <a:lstStyle/>
        <a:p>
          <a:endParaRPr lang="pt-BR"/>
        </a:p>
      </dgm:t>
    </dgm:pt>
    <dgm:pt modelId="{424E63FB-7A5E-47ED-BA8E-381C8BEA7B4D}">
      <dgm:prSet/>
      <dgm:spPr>
        <a:solidFill>
          <a:schemeClr val="accent6">
            <a:lumMod val="75000"/>
          </a:schemeClr>
        </a:solidFill>
      </dgm:spPr>
      <dgm:t>
        <a:bodyPr/>
        <a:lstStyle/>
        <a:p>
          <a:r>
            <a:rPr lang="pt-BR" b="1"/>
            <a:t>ENTREGA</a:t>
          </a:r>
        </a:p>
      </dgm:t>
    </dgm:pt>
    <dgm:pt modelId="{EBA54DFC-7FC3-4D85-9BDE-4CD347E65E6C}" type="parTrans" cxnId="{92F2DEF2-629B-4230-8138-3DEF5A285113}">
      <dgm:prSet/>
      <dgm:spPr/>
      <dgm:t>
        <a:bodyPr/>
        <a:lstStyle/>
        <a:p>
          <a:endParaRPr lang="pt-BR"/>
        </a:p>
      </dgm:t>
    </dgm:pt>
    <dgm:pt modelId="{2D9C3D49-28A1-4E2A-8676-8FA2D87A3E83}" type="sibTrans" cxnId="{92F2DEF2-629B-4230-8138-3DEF5A285113}">
      <dgm:prSet/>
      <dgm:spPr/>
      <dgm:t>
        <a:bodyPr/>
        <a:lstStyle/>
        <a:p>
          <a:endParaRPr lang="pt-BR"/>
        </a:p>
      </dgm:t>
    </dgm:pt>
    <dgm:pt modelId="{4D29C077-1695-455C-9DAA-E15887E6F57B}">
      <dgm:prSet custT="1"/>
      <dgm:spPr>
        <a:solidFill>
          <a:schemeClr val="accent6">
            <a:lumMod val="75000"/>
          </a:schemeClr>
        </a:solidFill>
      </dgm:spPr>
      <dgm:t>
        <a:bodyPr/>
        <a:lstStyle/>
        <a:p>
          <a:r>
            <a:rPr lang="pt-BR" sz="800" b="1"/>
            <a:t>DESIGN</a:t>
          </a:r>
        </a:p>
        <a:p>
          <a:r>
            <a:rPr lang="pt-BR" sz="800" b="1"/>
            <a:t>PROTOTIPAGEM</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a:solidFill>
          <a:schemeClr val="accent6">
            <a:lumMod val="75000"/>
          </a:schemeClr>
        </a:solidFill>
      </dgm:spPr>
      <dgm:t>
        <a:bodyPr/>
        <a:lstStyle/>
        <a:p>
          <a:r>
            <a:rPr lang="pt-BR" sz="900" b="1"/>
            <a:t>PLANEJAMENTO</a:t>
          </a:r>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a:solidFill>
          <a:schemeClr val="accent6">
            <a:lumMod val="75000"/>
          </a:schemeClr>
        </a:solidFill>
      </dgm:spPr>
      <dgm:t>
        <a:bodyPr/>
        <a:lstStyle/>
        <a:p>
          <a:r>
            <a:rPr lang="pt-BR" sz="1000" b="1"/>
            <a:t>INÍCIO</a:t>
          </a:r>
        </a:p>
      </dgm:t>
    </dgm:pt>
    <dgm:pt modelId="{D6922E7D-1806-4E3F-8FA5-876C5E53C8A8}" type="parTrans" cxnId="{C552F942-1B7C-4AFB-821A-4D72C958D1CB}">
      <dgm:prSet/>
      <dgm:spPr/>
      <dgm:t>
        <a:bodyPr/>
        <a:lstStyle/>
        <a:p>
          <a:endParaRPr lang="pt-BR"/>
        </a:p>
      </dgm:t>
    </dgm:pt>
    <dgm:pt modelId="{0BEBD46A-8D07-492E-B8B0-DBB8BC9382EB}" type="sibTrans" cxnId="{C552F942-1B7C-4AFB-821A-4D72C958D1CB}">
      <dgm:prSet/>
      <dgm:spPr/>
      <dgm:t>
        <a:bodyPr/>
        <a:lstStyle/>
        <a:p>
          <a:endParaRPr lang="pt-BR"/>
        </a:p>
      </dgm:t>
    </dgm:pt>
    <dgm:pt modelId="{B6389D6D-8AE5-4B3C-9BF6-CF7D2B974EDD}">
      <dgm:prSet/>
      <dgm:spPr/>
      <dgm:t>
        <a:bodyPr/>
        <a:lstStyle/>
        <a:p>
          <a:r>
            <a:rPr lang="pt-BR"/>
            <a:t>DEFINIÇÃO </a:t>
          </a:r>
          <a:r>
            <a:rPr lang="pt-BR" b="0"/>
            <a:t>DE</a:t>
          </a:r>
          <a:r>
            <a:rPr lang="pt-BR"/>
            <a:t> EQUIPE</a:t>
          </a:r>
        </a:p>
      </dgm:t>
    </dgm:pt>
    <dgm:pt modelId="{B5B99BBF-342F-4A4E-BF02-3E97606E944D}" type="parTrans" cxnId="{B7AC3C7B-0BE2-4CB7-AD76-781FCBA9DD7A}">
      <dgm:prSet/>
      <dgm:spPr/>
      <dgm:t>
        <a:bodyPr/>
        <a:lstStyle/>
        <a:p>
          <a:endParaRPr lang="pt-BR"/>
        </a:p>
      </dgm:t>
    </dgm:pt>
    <dgm:pt modelId="{9C75F253-3EC4-44CF-866A-C32D08314D38}" type="sibTrans" cxnId="{B7AC3C7B-0BE2-4CB7-AD76-781FCBA9DD7A}">
      <dgm:prSet/>
      <dgm:spPr/>
      <dgm:t>
        <a:bodyPr/>
        <a:lstStyle/>
        <a:p>
          <a:endParaRPr lang="pt-BR"/>
        </a:p>
      </dgm:t>
    </dgm:pt>
    <dgm:pt modelId="{97F38E1B-8B0A-4C1C-BB0E-8DC2824BBDEE}">
      <dgm:prSet/>
      <dgm:spPr/>
      <dgm:t>
        <a:bodyPr/>
        <a:lstStyle/>
        <a:p>
          <a:r>
            <a:rPr lang="pt-BR"/>
            <a:t>LEVANTAMENTO DE REQUISITOS</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4EDFDD96-7D03-4644-B893-2DE9B7516A86}">
      <dgm:prSet/>
      <dgm:spPr/>
      <dgm:t>
        <a:bodyPr/>
        <a:lstStyle/>
        <a:p>
          <a:r>
            <a:rPr lang="pt-BR"/>
            <a:t>DESIGN UI DO DASHBOARD </a:t>
          </a:r>
        </a:p>
      </dgm:t>
    </dgm:pt>
    <dgm:pt modelId="{F488A61D-44A8-43AF-8D4D-9D3A28823A7B}" type="parTrans" cxnId="{3EA162A4-132D-4878-91E4-70CE79167425}">
      <dgm:prSet/>
      <dgm:spPr/>
      <dgm:t>
        <a:bodyPr/>
        <a:lstStyle/>
        <a:p>
          <a:endParaRPr lang="pt-BR"/>
        </a:p>
      </dgm:t>
    </dgm:pt>
    <dgm:pt modelId="{DE838DFA-5D9A-4E00-863E-4F0DE9AEC1FD}" type="sibTrans" cxnId="{3EA162A4-132D-4878-91E4-70CE79167425}">
      <dgm:prSet/>
      <dgm:spPr/>
      <dgm:t>
        <a:bodyPr/>
        <a:lstStyle/>
        <a:p>
          <a:endParaRPr lang="pt-BR"/>
        </a:p>
      </dgm:t>
    </dgm:pt>
    <dgm:pt modelId="{D9DCBD92-CF2D-4FA3-9650-A94983E94475}">
      <dgm:prSet/>
      <dgm:spPr/>
      <dgm:t>
        <a:bodyPr/>
        <a:lstStyle/>
        <a:p>
          <a:r>
            <a:rPr lang="pt-BR"/>
            <a:t>DEFINIR A ESTRUTURA DO DASHBOARD</a:t>
          </a:r>
        </a:p>
      </dgm:t>
    </dgm:pt>
    <dgm:pt modelId="{8069AF01-BDAC-4439-9E0A-EA0793CC3F91}" type="parTrans" cxnId="{0251C4D9-523C-45CA-9883-E36842905429}">
      <dgm:prSet/>
      <dgm:spPr/>
      <dgm:t>
        <a:bodyPr/>
        <a:lstStyle/>
        <a:p>
          <a:endParaRPr lang="pt-BR"/>
        </a:p>
      </dgm:t>
    </dgm:pt>
    <dgm:pt modelId="{62C8F385-660A-4B36-9BB8-6E3C7FF1DC57}" type="sibTrans" cxnId="{0251C4D9-523C-45CA-9883-E36842905429}">
      <dgm:prSet/>
      <dgm:spPr/>
      <dgm:t>
        <a:bodyPr/>
        <a:lstStyle/>
        <a:p>
          <a:endParaRPr lang="pt-BR"/>
        </a:p>
      </dgm:t>
    </dgm:pt>
    <dgm:pt modelId="{D6F5CD79-D3E1-4B19-9C25-479267A00537}">
      <dgm:prSet/>
      <dgm:spPr/>
      <dgm:t>
        <a:bodyPr/>
        <a:lstStyle/>
        <a:p>
          <a:r>
            <a:rPr lang="pt-BR"/>
            <a:t>TESTES DE QUALIDADE E DESEMPENHO</a:t>
          </a:r>
        </a:p>
      </dgm:t>
    </dgm:pt>
    <dgm:pt modelId="{50F4CB47-0DB9-4B1E-9C75-49682DAC2BF7}" type="parTrans" cxnId="{C6FE6CD8-A901-422C-875C-5FBBBE15EF5E}">
      <dgm:prSet/>
      <dgm:spPr/>
      <dgm:t>
        <a:bodyPr/>
        <a:lstStyle/>
        <a:p>
          <a:endParaRPr lang="pt-BR"/>
        </a:p>
      </dgm:t>
    </dgm:pt>
    <dgm:pt modelId="{A143E528-DC48-443B-967F-FB0FB6BA3C02}" type="sibTrans" cxnId="{C6FE6CD8-A901-422C-875C-5FBBBE15EF5E}">
      <dgm:prSet/>
      <dgm:spPr/>
      <dgm:t>
        <a:bodyPr/>
        <a:lstStyle/>
        <a:p>
          <a:endParaRPr lang="pt-BR"/>
        </a:p>
      </dgm:t>
    </dgm:pt>
    <dgm:pt modelId="{92338313-9670-40FB-8040-D372407E9060}">
      <dgm:prSet/>
      <dgm:spPr/>
      <dgm:t>
        <a:bodyPr/>
        <a:lstStyle/>
        <a:p>
          <a:r>
            <a:rPr lang="pt-BR"/>
            <a:t>APRESENTAÇÃO</a:t>
          </a:r>
        </a:p>
      </dgm:t>
    </dgm:pt>
    <dgm:pt modelId="{2EA6147A-4097-4648-9D83-1C15EC3F6E1C}" type="parTrans" cxnId="{87F57775-E1CB-4C77-B610-15C932BBF66E}">
      <dgm:prSet/>
      <dgm:spPr/>
      <dgm:t>
        <a:bodyPr/>
        <a:lstStyle/>
        <a:p>
          <a:endParaRPr lang="pt-BR"/>
        </a:p>
      </dgm:t>
    </dgm:pt>
    <dgm:pt modelId="{B4F18F56-A5B4-46E0-A7B1-FB49C24421E2}" type="sibTrans" cxnId="{87F57775-E1CB-4C77-B610-15C932BBF66E}">
      <dgm:prSet/>
      <dgm:spPr/>
      <dgm:t>
        <a:bodyPr/>
        <a:lstStyle/>
        <a:p>
          <a:endParaRPr lang="pt-BR"/>
        </a:p>
      </dgm:t>
    </dgm:pt>
    <dgm:pt modelId="{86AF350A-A785-4BDD-9C13-1E90196942B4}">
      <dgm:prSet/>
      <dgm:spPr/>
      <dgm:t>
        <a:bodyPr/>
        <a:lstStyle/>
        <a:p>
          <a:r>
            <a:rPr lang="pt-BR"/>
            <a:t>PADRONIZAÇÃO DE DADOS</a:t>
          </a:r>
        </a:p>
      </dgm:t>
    </dgm:pt>
    <dgm:pt modelId="{B7B3C6AE-DFBB-46A9-8CF1-A1BD803B9409}" type="parTrans" cxnId="{25A7167F-DF6B-457E-B8FE-9C31F86E5923}">
      <dgm:prSet/>
      <dgm:spPr/>
      <dgm:t>
        <a:bodyPr/>
        <a:lstStyle/>
        <a:p>
          <a:endParaRPr lang="pt-BR"/>
        </a:p>
      </dgm:t>
    </dgm:pt>
    <dgm:pt modelId="{E2A53098-4FAB-4666-9DF9-9FFC35DA3367}" type="sibTrans" cxnId="{25A7167F-DF6B-457E-B8FE-9C31F86E5923}">
      <dgm:prSet/>
      <dgm:spPr/>
      <dgm:t>
        <a:bodyPr/>
        <a:lstStyle/>
        <a:p>
          <a:endParaRPr lang="pt-BR"/>
        </a:p>
      </dgm:t>
    </dgm:pt>
    <dgm:pt modelId="{95643014-9364-4ED7-A23C-11FF87634454}">
      <dgm:prSet/>
      <dgm:spPr/>
      <dgm:t>
        <a:bodyPr/>
        <a:lstStyle/>
        <a:p>
          <a:r>
            <a:rPr lang="pt-BR"/>
            <a:t>ENTENDER OS DADOS</a:t>
          </a:r>
        </a:p>
      </dgm:t>
    </dgm:pt>
    <dgm:pt modelId="{E0114C20-3A39-4242-9BD4-7E3A42C0079E}" type="parTrans" cxnId="{56F4D0BE-0ED8-4594-B6D7-DCDE4C6272FE}">
      <dgm:prSet/>
      <dgm:spPr/>
      <dgm:t>
        <a:bodyPr/>
        <a:lstStyle/>
        <a:p>
          <a:endParaRPr lang="pt-BR"/>
        </a:p>
      </dgm:t>
    </dgm:pt>
    <dgm:pt modelId="{17FCF78A-6A89-4118-8006-45387E9866DB}" type="sibTrans" cxnId="{56F4D0BE-0ED8-4594-B6D7-DCDE4C6272FE}">
      <dgm:prSet/>
      <dgm:spPr/>
      <dgm:t>
        <a:bodyPr/>
        <a:lstStyle/>
        <a:p>
          <a:endParaRPr lang="pt-BR"/>
        </a:p>
      </dgm:t>
    </dgm:pt>
    <dgm:pt modelId="{85C9611E-0EC3-4C90-8306-3D5D07DB36F8}">
      <dgm:prSet/>
      <dgm:spPr/>
      <dgm:t>
        <a:bodyPr/>
        <a:lstStyle/>
        <a:p>
          <a:r>
            <a:rPr lang="pt-BR" b="0"/>
            <a:t>COLETAR DADOS INICIAIS </a:t>
          </a:r>
        </a:p>
      </dgm:t>
    </dgm:pt>
    <dgm:pt modelId="{4661214A-AF71-4F01-B5B7-3BAE62E034B1}" type="parTrans" cxnId="{5FA28F56-013D-472F-83B5-8187D8315481}">
      <dgm:prSet/>
      <dgm:spPr/>
      <dgm:t>
        <a:bodyPr/>
        <a:lstStyle/>
        <a:p>
          <a:endParaRPr lang="pt-BR"/>
        </a:p>
      </dgm:t>
    </dgm:pt>
    <dgm:pt modelId="{764D2B81-8F9C-4694-8817-C29E2CC9CA1B}" type="sibTrans" cxnId="{5FA28F56-013D-472F-83B5-8187D8315481}">
      <dgm:prSet/>
      <dgm:spPr/>
      <dgm:t>
        <a:bodyPr/>
        <a:lstStyle/>
        <a:p>
          <a:endParaRPr lang="pt-BR"/>
        </a:p>
      </dgm:t>
    </dgm:pt>
    <dgm:pt modelId="{C2EFE54E-DDBB-4937-AAAF-B8E47F74D697}">
      <dgm:prSet/>
      <dgm:spPr/>
      <dgm:t>
        <a:bodyPr/>
        <a:lstStyle/>
        <a:p>
          <a:r>
            <a:rPr lang="pt-BR"/>
            <a:t>DESCREVER OS DADOS</a:t>
          </a:r>
        </a:p>
      </dgm:t>
    </dgm:pt>
    <dgm:pt modelId="{DCA270CC-2A75-49E7-89B8-4B3AC5996B9D}" type="parTrans" cxnId="{3D7DD36E-03E9-42F3-B684-10B7CEF98A4F}">
      <dgm:prSet/>
      <dgm:spPr/>
      <dgm:t>
        <a:bodyPr/>
        <a:lstStyle/>
        <a:p>
          <a:endParaRPr lang="pt-BR"/>
        </a:p>
      </dgm:t>
    </dgm:pt>
    <dgm:pt modelId="{5DE7361D-5FEF-405C-B0DD-35377479C1DF}" type="sibTrans" cxnId="{3D7DD36E-03E9-42F3-B684-10B7CEF98A4F}">
      <dgm:prSet/>
      <dgm:spPr/>
      <dgm:t>
        <a:bodyPr/>
        <a:lstStyle/>
        <a:p>
          <a:endParaRPr lang="pt-BR"/>
        </a:p>
      </dgm:t>
    </dgm:pt>
    <dgm:pt modelId="{0B7A893D-34B0-412E-AAF0-3244FF37E62F}">
      <dgm:prSet/>
      <dgm:spPr/>
      <dgm:t>
        <a:bodyPr/>
        <a:lstStyle/>
        <a:p>
          <a:r>
            <a:rPr lang="pt-BR"/>
            <a:t>EXPLORAR OS DADOS</a:t>
          </a:r>
        </a:p>
      </dgm:t>
    </dgm:pt>
    <dgm:pt modelId="{2DEF8671-DD1F-49D2-9C9F-4553E51583D7}" type="parTrans" cxnId="{DD8252DC-97BB-4DFF-98B1-5F9768B012B2}">
      <dgm:prSet/>
      <dgm:spPr/>
      <dgm:t>
        <a:bodyPr/>
        <a:lstStyle/>
        <a:p>
          <a:endParaRPr lang="pt-BR"/>
        </a:p>
      </dgm:t>
    </dgm:pt>
    <dgm:pt modelId="{EBBEF2A1-4FE1-445D-81D1-191137E58D73}" type="sibTrans" cxnId="{DD8252DC-97BB-4DFF-98B1-5F9768B012B2}">
      <dgm:prSet/>
      <dgm:spPr/>
      <dgm:t>
        <a:bodyPr/>
        <a:lstStyle/>
        <a:p>
          <a:endParaRPr lang="pt-BR"/>
        </a:p>
      </dgm:t>
    </dgm:pt>
    <dgm:pt modelId="{EB3954B5-74F4-4D11-9DFF-EA78507987CB}">
      <dgm:prSet/>
      <dgm:spPr/>
      <dgm:t>
        <a:bodyPr/>
        <a:lstStyle/>
        <a:p>
          <a:r>
            <a:rPr lang="pt-BR"/>
            <a:t>VERIFICAR A QUALIDADE DOS DADOS</a:t>
          </a:r>
        </a:p>
      </dgm:t>
    </dgm:pt>
    <dgm:pt modelId="{DC6688E7-45CF-4D5C-9D56-6B7EDCF265A6}" type="parTrans" cxnId="{FCAD58C9-5B71-4F8F-A3A8-89272EB477CB}">
      <dgm:prSet/>
      <dgm:spPr/>
      <dgm:t>
        <a:bodyPr/>
        <a:lstStyle/>
        <a:p>
          <a:endParaRPr lang="pt-BR"/>
        </a:p>
      </dgm:t>
    </dgm:pt>
    <dgm:pt modelId="{70FF2AC7-4C12-4FF5-B75D-B14A9D9AF54D}" type="sibTrans" cxnId="{FCAD58C9-5B71-4F8F-A3A8-89272EB477CB}">
      <dgm:prSet/>
      <dgm:spPr/>
      <dgm:t>
        <a:bodyPr/>
        <a:lstStyle/>
        <a:p>
          <a:endParaRPr lang="pt-BR"/>
        </a:p>
      </dgm:t>
    </dgm:pt>
    <dgm:pt modelId="{6ED531EE-0BC7-4118-B43F-7D8D436633A8}">
      <dgm:prSet/>
      <dgm:spPr/>
      <dgm:t>
        <a:bodyPr/>
        <a:lstStyle/>
        <a:p>
          <a:r>
            <a:rPr lang="pt-BR"/>
            <a:t>REUNIÃO COM A CANNOLI</a:t>
          </a: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dgm:spPr/>
      <dgm:t>
        <a:bodyPr/>
        <a:lstStyle/>
        <a:p>
          <a:r>
            <a:rPr lang="pt-BR"/>
            <a:t>DEFINIÇÃO DE ESCOPO</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E2EC6A85-58E6-4744-B75D-3324C60D8EE8}">
      <dgm:prSet/>
      <dgm:spPr/>
      <dgm:t>
        <a:bodyPr/>
        <a:lstStyle/>
        <a:p>
          <a:r>
            <a:rPr lang="pt-BR"/>
            <a:t>NAVEGAÇÃO E FUNCIONALIDADES</a:t>
          </a:r>
        </a:p>
      </dgm:t>
    </dgm:pt>
    <dgm:pt modelId="{B3501234-EF80-4869-A279-C89BC86861D2}" type="parTrans" cxnId="{DE9C8239-0598-4C48-90A2-01751F1B2D4D}">
      <dgm:prSet/>
      <dgm:spPr/>
      <dgm:t>
        <a:bodyPr/>
        <a:lstStyle/>
        <a:p>
          <a:endParaRPr lang="pt-BR"/>
        </a:p>
      </dgm:t>
    </dgm:pt>
    <dgm:pt modelId="{10EFCF7D-53F5-4063-BC87-A0BF36C60784}" type="sibTrans" cxnId="{DE9C8239-0598-4C48-90A2-01751F1B2D4D}">
      <dgm:prSet/>
      <dgm:spPr/>
      <dgm:t>
        <a:bodyPr/>
        <a:lstStyle/>
        <a:p>
          <a:endParaRPr lang="pt-BR"/>
        </a:p>
      </dgm:t>
    </dgm:pt>
    <dgm:pt modelId="{69233474-9CCA-431F-ADB6-8A9AC33B9697}">
      <dgm:prSet/>
      <dgm:spPr/>
      <dgm:t>
        <a:bodyPr/>
        <a:lstStyle/>
        <a:p>
          <a:r>
            <a:rPr lang="pt-BR"/>
            <a:t>PROTÓTIPOS INTERATIVOS</a:t>
          </a:r>
        </a:p>
      </dgm:t>
    </dgm:pt>
    <dgm:pt modelId="{622DEC80-7D3B-489F-A688-386A3BD66E46}" type="parTrans" cxnId="{F1E5D1E5-1268-475D-944D-33E806414ACD}">
      <dgm:prSet/>
      <dgm:spPr/>
      <dgm:t>
        <a:bodyPr/>
        <a:lstStyle/>
        <a:p>
          <a:endParaRPr lang="pt-BR"/>
        </a:p>
      </dgm:t>
    </dgm:pt>
    <dgm:pt modelId="{FEF84970-9F64-4C23-B93E-C7AB8DAB57E9}" type="sibTrans" cxnId="{F1E5D1E5-1268-475D-944D-33E806414ACD}">
      <dgm:prSet/>
      <dgm:spPr/>
      <dgm:t>
        <a:bodyPr/>
        <a:lstStyle/>
        <a:p>
          <a:endParaRPr lang="pt-BR"/>
        </a:p>
      </dgm:t>
    </dgm:pt>
    <dgm:pt modelId="{DBA8929B-46BA-404E-A3FA-7CF913B88C72}">
      <dgm:prSet/>
      <dgm:spPr/>
      <dgm:t>
        <a:bodyPr/>
        <a:lstStyle/>
        <a:p>
          <a:r>
            <a:rPr lang="pt-BR"/>
            <a:t>CÓDIGO FRONT-END</a:t>
          </a:r>
        </a:p>
      </dgm:t>
    </dgm:pt>
    <dgm:pt modelId="{F26A6E32-5FBB-4CEF-BDB1-A0E805534581}" type="parTrans" cxnId="{A0E7CBB5-7CF0-42B5-B4E5-93BE50449420}">
      <dgm:prSet/>
      <dgm:spPr/>
      <dgm:t>
        <a:bodyPr/>
        <a:lstStyle/>
        <a:p>
          <a:endParaRPr lang="pt-BR"/>
        </a:p>
      </dgm:t>
    </dgm:pt>
    <dgm:pt modelId="{79AC7646-F02B-4EB7-8D35-A654D4BDF6CA}" type="sibTrans" cxnId="{A0E7CBB5-7CF0-42B5-B4E5-93BE50449420}">
      <dgm:prSet/>
      <dgm:spPr/>
      <dgm:t>
        <a:bodyPr/>
        <a:lstStyle/>
        <a:p>
          <a:endParaRPr lang="pt-BR"/>
        </a:p>
      </dgm:t>
    </dgm:pt>
    <dgm:pt modelId="{C2E9E08C-C520-4750-9A46-099873830BC9}">
      <dgm:prSet/>
      <dgm:spPr/>
      <dgm:t>
        <a:bodyPr/>
        <a:lstStyle/>
        <a:p>
          <a:r>
            <a:rPr lang="pt-BR"/>
            <a:t>CÓDIGO BACK-END</a:t>
          </a:r>
        </a:p>
      </dgm:t>
    </dgm:pt>
    <dgm:pt modelId="{304499FC-178F-457B-9D5B-07C633CC1703}" type="parTrans" cxnId="{EB7666B2-9172-4ECA-B786-AA8FF5113B06}">
      <dgm:prSet/>
      <dgm:spPr/>
      <dgm:t>
        <a:bodyPr/>
        <a:lstStyle/>
        <a:p>
          <a:endParaRPr lang="pt-BR"/>
        </a:p>
      </dgm:t>
    </dgm:pt>
    <dgm:pt modelId="{E69A4F6D-B644-4F5C-905D-8356A91FFF6D}" type="sibTrans" cxnId="{EB7666B2-9172-4ECA-B786-AA8FF5113B06}">
      <dgm:prSet/>
      <dgm:spPr/>
      <dgm:t>
        <a:bodyPr/>
        <a:lstStyle/>
        <a:p>
          <a:endParaRPr lang="pt-BR"/>
        </a:p>
      </dgm:t>
    </dgm:pt>
    <dgm:pt modelId="{D5E38E4B-FED5-4A0A-B8AA-8728BED387A3}">
      <dgm:prSet/>
      <dgm:spPr/>
      <dgm:t>
        <a:bodyPr/>
        <a:lstStyle/>
        <a:p>
          <a:r>
            <a:rPr lang="pt-BR"/>
            <a:t>DESENVOLVER PRINCIPAIS MÓDULOS</a:t>
          </a:r>
        </a:p>
      </dgm:t>
    </dgm:pt>
    <dgm:pt modelId="{1182CA2F-4565-428E-AE54-DA4AC822DEC1}" type="parTrans" cxnId="{21C18FBE-38F8-4F4C-A586-7435BBF5F356}">
      <dgm:prSet/>
      <dgm:spPr/>
      <dgm:t>
        <a:bodyPr/>
        <a:lstStyle/>
        <a:p>
          <a:endParaRPr lang="pt-BR"/>
        </a:p>
      </dgm:t>
    </dgm:pt>
    <dgm:pt modelId="{F08BBAFC-C54C-473A-A12D-0976EAD9F5B1}" type="sibTrans" cxnId="{21C18FBE-38F8-4F4C-A586-7435BBF5F356}">
      <dgm:prSet/>
      <dgm:spPr/>
      <dgm:t>
        <a:bodyPr/>
        <a:lstStyle/>
        <a:p>
          <a:endParaRPr lang="pt-BR"/>
        </a:p>
      </dgm:t>
    </dgm:pt>
    <dgm:pt modelId="{B71ED880-875D-465D-A2D5-7EFCE170B8F3}">
      <dgm:prSet/>
      <dgm:spPr/>
      <dgm:t>
        <a:bodyPr/>
        <a:lstStyle/>
        <a:p>
          <a:r>
            <a:rPr lang="pt-BR"/>
            <a:t>MÓDULO DE CAMAPANHA</a:t>
          </a:r>
        </a:p>
      </dgm:t>
    </dgm:pt>
    <dgm:pt modelId="{6B85388F-71E1-413F-BC49-7FE13C99924D}" type="parTrans" cxnId="{186A48B7-C942-4DF9-A198-0A87B53EE7B1}">
      <dgm:prSet/>
      <dgm:spPr/>
      <dgm:t>
        <a:bodyPr/>
        <a:lstStyle/>
        <a:p>
          <a:endParaRPr lang="pt-BR"/>
        </a:p>
      </dgm:t>
    </dgm:pt>
    <dgm:pt modelId="{01D8D94A-4C5D-44E8-A195-D41DEB2DABF3}" type="sibTrans" cxnId="{186A48B7-C942-4DF9-A198-0A87B53EE7B1}">
      <dgm:prSet/>
      <dgm:spPr/>
      <dgm:t>
        <a:bodyPr/>
        <a:lstStyle/>
        <a:p>
          <a:endParaRPr lang="pt-BR"/>
        </a:p>
      </dgm:t>
    </dgm:pt>
    <dgm:pt modelId="{602FD50F-130C-4E3A-A16E-AF79EACA12AD}">
      <dgm:prSet/>
      <dgm:spPr/>
      <dgm:t>
        <a:bodyPr/>
        <a:lstStyle/>
        <a:p>
          <a:r>
            <a:rPr lang="pt-BR"/>
            <a:t>GARANTIR A SEGURANÇA E PRIVACIDADE </a:t>
          </a:r>
        </a:p>
      </dgm:t>
    </dgm:pt>
    <dgm:pt modelId="{7B0E8674-AF5F-4D43-BDCB-E4D39514593E}" type="parTrans" cxnId="{E8CAFC66-D95E-4317-A7A2-C8AB6D6BA112}">
      <dgm:prSet/>
      <dgm:spPr/>
      <dgm:t>
        <a:bodyPr/>
        <a:lstStyle/>
        <a:p>
          <a:endParaRPr lang="pt-BR"/>
        </a:p>
      </dgm:t>
    </dgm:pt>
    <dgm:pt modelId="{D4ED3A0A-0C59-4430-AAD1-BDBBC840422D}" type="sibTrans" cxnId="{E8CAFC66-D95E-4317-A7A2-C8AB6D6BA112}">
      <dgm:prSet/>
      <dgm:spPr/>
      <dgm:t>
        <a:bodyPr/>
        <a:lstStyle/>
        <a:p>
          <a:endParaRPr lang="pt-BR"/>
        </a:p>
      </dgm:t>
    </dgm:pt>
    <dgm:pt modelId="{E5E9916D-2D7F-4C7A-A808-9D88F35BEC5A}">
      <dgm:prSet/>
      <dgm:spPr/>
      <dgm:t>
        <a:bodyPr/>
        <a:lstStyle/>
        <a:p>
          <a:r>
            <a:rPr lang="pt-BR"/>
            <a:t>INTEGRAÇÃO E SINCRONIZAÇÃO DE DADOS</a:t>
          </a:r>
        </a:p>
      </dgm:t>
    </dgm:pt>
    <dgm:pt modelId="{6EAA41E0-1525-42E3-A200-48C0FE921E72}" type="parTrans" cxnId="{8A23767A-9C3F-4E56-B59C-7BCEF096F684}">
      <dgm:prSet/>
      <dgm:spPr/>
      <dgm:t>
        <a:bodyPr/>
        <a:lstStyle/>
        <a:p>
          <a:endParaRPr lang="pt-BR"/>
        </a:p>
      </dgm:t>
    </dgm:pt>
    <dgm:pt modelId="{4AC5E256-0BCF-40E2-AEBD-A2D1A83F40E2}" type="sibTrans" cxnId="{8A23767A-9C3F-4E56-B59C-7BCEF096F684}">
      <dgm:prSet/>
      <dgm:spPr/>
      <dgm:t>
        <a:bodyPr/>
        <a:lstStyle/>
        <a:p>
          <a:endParaRPr lang="pt-BR"/>
        </a:p>
      </dgm:t>
    </dgm:pt>
    <dgm:pt modelId="{9AC19E5E-60C4-4CCF-A20E-E4814BC2FE9B}">
      <dgm:prSet/>
      <dgm:spPr/>
      <dgm:t>
        <a:bodyPr/>
        <a:lstStyle/>
        <a:p>
          <a:r>
            <a:rPr lang="pt-BR"/>
            <a:t>TESTES DE USABILIDADE</a:t>
          </a:r>
        </a:p>
      </dgm:t>
    </dgm:pt>
    <dgm:pt modelId="{699FA3BB-5DDB-4810-8B78-2E6BCAFDC511}" type="parTrans" cxnId="{A07DF47A-E69E-495D-8151-1979DE0A5DDB}">
      <dgm:prSet/>
      <dgm:spPr/>
      <dgm:t>
        <a:bodyPr/>
        <a:lstStyle/>
        <a:p>
          <a:endParaRPr lang="pt-BR"/>
        </a:p>
      </dgm:t>
    </dgm:pt>
    <dgm:pt modelId="{9F54CECE-D9A6-4EF2-828B-C01621ECF61C}" type="sibTrans" cxnId="{A07DF47A-E69E-495D-8151-1979DE0A5DDB}">
      <dgm:prSet/>
      <dgm:spPr/>
      <dgm:t>
        <a:bodyPr/>
        <a:lstStyle/>
        <a:p>
          <a:endParaRPr lang="pt-BR"/>
        </a:p>
      </dgm:t>
    </dgm:pt>
    <dgm:pt modelId="{03DF699C-3176-485E-B584-5BC85EC703ED}">
      <dgm:prSet/>
      <dgm:spPr/>
      <dgm:t>
        <a:bodyPr/>
        <a:lstStyle/>
        <a:p>
          <a:r>
            <a:rPr lang="pt-BR"/>
            <a:t>IDENTIFICAÇÃO E CORREÇÃO DE BUGS</a:t>
          </a:r>
        </a:p>
      </dgm:t>
    </dgm:pt>
    <dgm:pt modelId="{FDDB7EEE-AB02-47E4-B007-CB2A762CB7F9}" type="parTrans" cxnId="{7241A540-84B9-4248-A8C9-589551961BC5}">
      <dgm:prSet/>
      <dgm:spPr/>
      <dgm:t>
        <a:bodyPr/>
        <a:lstStyle/>
        <a:p>
          <a:endParaRPr lang="pt-BR"/>
        </a:p>
      </dgm:t>
    </dgm:pt>
    <dgm:pt modelId="{C3CA3D16-3F50-4C85-8F9B-29F6F52233B6}" type="sibTrans" cxnId="{7241A540-84B9-4248-A8C9-589551961BC5}">
      <dgm:prSet/>
      <dgm:spPr/>
      <dgm:t>
        <a:bodyPr/>
        <a:lstStyle/>
        <a:p>
          <a:endParaRPr lang="pt-BR"/>
        </a:p>
      </dgm:t>
    </dgm:pt>
    <dgm:pt modelId="{8AB7F64B-E4EA-46A3-93C5-530B1FAAB3A0}">
      <dgm:prSet/>
      <dgm:spPr/>
      <dgm:t>
        <a:bodyPr/>
        <a:lstStyle/>
        <a:p>
          <a:r>
            <a:rPr lang="pt-BR"/>
            <a:t>AVALIAÇÃO</a:t>
          </a:r>
        </a:p>
      </dgm:t>
    </dgm:pt>
    <dgm:pt modelId="{D39B8DD9-864C-4EB7-9F89-A2AD12438034}" type="parTrans" cxnId="{633930AF-3D0C-41D1-9D7D-CE36CB354B8D}">
      <dgm:prSet/>
      <dgm:spPr/>
      <dgm:t>
        <a:bodyPr/>
        <a:lstStyle/>
        <a:p>
          <a:endParaRPr lang="pt-BR"/>
        </a:p>
      </dgm:t>
    </dgm:pt>
    <dgm:pt modelId="{54EF72C2-E454-4C40-B61C-C5559BC6F1E5}" type="sibTrans" cxnId="{633930AF-3D0C-41D1-9D7D-CE36CB354B8D}">
      <dgm:prSet/>
      <dgm:spPr/>
      <dgm:t>
        <a:bodyPr/>
        <a:lstStyle/>
        <a:p>
          <a:endParaRPr lang="pt-BR"/>
        </a:p>
      </dgm:t>
    </dgm:pt>
    <dgm:pt modelId="{F02C7DD0-38B5-42D3-B052-77C4D943365F}">
      <dgm:prSet/>
      <dgm:spPr/>
      <dgm:t>
        <a:bodyPr/>
        <a:lstStyle/>
        <a:p>
          <a:r>
            <a:rPr lang="pt-BR"/>
            <a:t>FEEDBACK</a:t>
          </a:r>
        </a:p>
      </dgm:t>
    </dgm:pt>
    <dgm:pt modelId="{3C430132-43C1-47EF-A156-1D4161537981}" type="parTrans" cxnId="{0B06A545-F7FA-4E92-9E10-17CE2A337029}">
      <dgm:prSet/>
      <dgm:spPr/>
      <dgm:t>
        <a:bodyPr/>
        <a:lstStyle/>
        <a:p>
          <a:endParaRPr lang="pt-BR"/>
        </a:p>
      </dgm:t>
    </dgm:pt>
    <dgm:pt modelId="{50138A85-8EAD-497B-B628-3150CB39B50A}" type="sibTrans" cxnId="{0B06A545-F7FA-4E92-9E10-17CE2A337029}">
      <dgm:prSet/>
      <dgm:spPr/>
      <dgm:t>
        <a:bodyPr/>
        <a:lstStyle/>
        <a:p>
          <a:endParaRPr lang="pt-BR"/>
        </a:p>
      </dgm:t>
    </dgm:pt>
    <dgm:pt modelId="{141B889D-94F1-45C1-B73E-13B1197CCCF8}">
      <dgm:prSet/>
      <dgm:spPr/>
      <dgm:t>
        <a:bodyPr/>
        <a:lstStyle/>
        <a:p>
          <a:r>
            <a:rPr lang="pt-BR"/>
            <a:t>DESIGN UX DO DASHBOARD</a:t>
          </a:r>
        </a:p>
      </dgm:t>
    </dgm:pt>
    <dgm:pt modelId="{16CD9583-BD21-4156-92D6-71CDB340D1AD}" type="parTrans" cxnId="{B92B522F-B1AC-4084-8435-05E3C9E7FBC1}">
      <dgm:prSet/>
      <dgm:spPr/>
      <dgm:t>
        <a:bodyPr/>
        <a:lstStyle/>
        <a:p>
          <a:endParaRPr lang="pt-BR"/>
        </a:p>
      </dgm:t>
    </dgm:pt>
    <dgm:pt modelId="{FD784D90-C615-46FC-910F-FBF76A3078C0}" type="sibTrans" cxnId="{B92B522F-B1AC-4084-8435-05E3C9E7FBC1}">
      <dgm:prSet/>
      <dgm:spPr/>
      <dgm:t>
        <a:bodyPr/>
        <a:lstStyle/>
        <a:p>
          <a:endParaRPr lang="pt-BR"/>
        </a:p>
      </dgm:t>
    </dgm:pt>
    <dgm:pt modelId="{0AE7F9E1-765F-489C-8C16-C7BC49A797D9}">
      <dgm:prSet/>
      <dgm:spPr/>
      <dgm:t>
        <a:bodyPr/>
        <a:lstStyle/>
        <a:p>
          <a:r>
            <a:rPr lang="pt-BR"/>
            <a:t>INTERFACE LIMPA E INTUITIVA</a:t>
          </a:r>
        </a:p>
      </dgm:t>
    </dgm:pt>
    <dgm:pt modelId="{3D8434B0-DEC5-4689-B419-C2351767EFE8}" type="parTrans" cxnId="{71E1FC74-41F8-4DF4-A6BB-6C89D145CA37}">
      <dgm:prSet/>
      <dgm:spPr/>
      <dgm:t>
        <a:bodyPr/>
        <a:lstStyle/>
        <a:p>
          <a:endParaRPr lang="pt-BR"/>
        </a:p>
      </dgm:t>
    </dgm:pt>
    <dgm:pt modelId="{CF6AFA8F-6A63-4640-9B8A-9183306EE590}" type="sibTrans" cxnId="{71E1FC74-41F8-4DF4-A6BB-6C89D145CA37}">
      <dgm:prSet/>
      <dgm:spPr/>
      <dgm:t>
        <a:bodyPr/>
        <a:lstStyle/>
        <a:p>
          <a:endParaRPr lang="pt-BR"/>
        </a:p>
      </dgm:t>
    </dgm:pt>
    <dgm:pt modelId="{1FA32465-79CA-43E4-925C-FD9E6E9DB5C8}">
      <dgm:prSet/>
      <dgm:spPr/>
      <dgm:t>
        <a:bodyPr/>
        <a:lstStyle/>
        <a:p>
          <a:r>
            <a:rPr lang="pt-BR"/>
            <a:t>TESTAR A UI/UX</a:t>
          </a:r>
        </a:p>
      </dgm:t>
    </dgm:pt>
    <dgm:pt modelId="{88490267-DE7E-43ED-9BD4-B69E754A61AF}" type="parTrans" cxnId="{05578DD0-72FA-4B08-B907-FC8A62576561}">
      <dgm:prSet/>
      <dgm:spPr/>
      <dgm:t>
        <a:bodyPr/>
        <a:lstStyle/>
        <a:p>
          <a:endParaRPr lang="pt-BR"/>
        </a:p>
      </dgm:t>
    </dgm:pt>
    <dgm:pt modelId="{8D80A846-3714-4A60-AA9F-DC844391A49A}" type="sibTrans" cxnId="{05578DD0-72FA-4B08-B907-FC8A62576561}">
      <dgm:prSet/>
      <dgm:spPr/>
      <dgm:t>
        <a:bodyPr/>
        <a:lstStyle/>
        <a:p>
          <a:endParaRPr lang="pt-BR"/>
        </a:p>
      </dgm:t>
    </dgm:pt>
    <dgm:pt modelId="{0E0D5914-9733-4438-B53B-E54AED87BD25}">
      <dgm:prSet custT="1"/>
      <dgm:spPr>
        <a:solidFill>
          <a:schemeClr val="accent6">
            <a:lumMod val="75000"/>
          </a:schemeClr>
        </a:solidFill>
      </dgm:spPr>
      <dgm:t>
        <a:bodyPr/>
        <a:lstStyle/>
        <a:p>
          <a:r>
            <a:rPr lang="pt-BR" sz="900" b="1"/>
            <a:t>DESENVOLVIMENTO</a:t>
          </a:r>
        </a:p>
      </dgm:t>
    </dgm:pt>
    <dgm:pt modelId="{D8EA48FB-2A30-458D-BF2E-504D6379A563}" type="sibTrans" cxnId="{4A2D8755-0CFA-4659-993A-B10BB913460D}">
      <dgm:prSet/>
      <dgm:spPr/>
      <dgm:t>
        <a:bodyPr/>
        <a:lstStyle/>
        <a:p>
          <a:endParaRPr lang="pt-BR"/>
        </a:p>
      </dgm:t>
    </dgm:pt>
    <dgm:pt modelId="{C025D0B3-3453-4AB2-8C0D-9A93251A872D}" type="parTrans" cxnId="{4A2D8755-0CFA-4659-993A-B10BB913460D}">
      <dgm:prSet/>
      <dgm:spPr/>
      <dgm:t>
        <a:bodyPr/>
        <a:lstStyle/>
        <a:p>
          <a:endParaRPr lang="pt-BR"/>
        </a:p>
      </dgm:t>
    </dgm:pt>
    <dgm:pt modelId="{12E89453-6DCE-4C8D-9238-8E58E38D47DF}">
      <dgm:prSet/>
      <dgm:spPr/>
      <dgm:t>
        <a:bodyPr/>
        <a:lstStyle/>
        <a:p>
          <a:r>
            <a:rPr lang="pt-BR"/>
            <a:t>PERSONALIZAÇÃO INDIVIDUAL PARA CLIENTES</a:t>
          </a:r>
        </a:p>
      </dgm:t>
    </dgm:pt>
    <dgm:pt modelId="{EB4D8335-8BE0-4973-AB60-04F8ECAC0E83}" type="parTrans" cxnId="{81674B8D-BEE0-484A-AE57-927936E32D0F}">
      <dgm:prSet/>
      <dgm:spPr/>
      <dgm:t>
        <a:bodyPr/>
        <a:lstStyle/>
        <a:p>
          <a:endParaRPr lang="pt-BR"/>
        </a:p>
      </dgm:t>
    </dgm:pt>
    <dgm:pt modelId="{C73E875F-3187-4BD7-9313-AA534DD6CF0C}" type="sibTrans" cxnId="{81674B8D-BEE0-484A-AE57-927936E32D0F}">
      <dgm:prSet/>
      <dgm:spPr/>
      <dgm:t>
        <a:bodyPr/>
        <a:lstStyle/>
        <a:p>
          <a:endParaRPr lang="pt-BR"/>
        </a:p>
      </dgm:t>
    </dgm:pt>
    <dgm:pt modelId="{28D8B257-A9CA-4DEF-82EB-3BC9181A0F5A}">
      <dgm:prSet/>
      <dgm:spPr/>
      <dgm:t>
        <a:bodyPr/>
        <a:lstStyle/>
        <a:p>
          <a:r>
            <a:rPr lang="pt-BR"/>
            <a:t>INTEGRAÇÃO DE APIS</a:t>
          </a:r>
        </a:p>
      </dgm:t>
    </dgm:pt>
    <dgm:pt modelId="{69F86B7A-C44C-44F2-8EB4-E2847C14540F}" type="parTrans" cxnId="{4E0094DE-E0A5-4ED3-B5CD-D7B8E5C60C26}">
      <dgm:prSet/>
      <dgm:spPr/>
      <dgm:t>
        <a:bodyPr/>
        <a:lstStyle/>
        <a:p>
          <a:endParaRPr lang="pt-BR"/>
        </a:p>
      </dgm:t>
    </dgm:pt>
    <dgm:pt modelId="{3052614E-E5C7-45FD-8E4C-52BA845585ED}" type="sibTrans" cxnId="{4E0094DE-E0A5-4ED3-B5CD-D7B8E5C60C26}">
      <dgm:prSet/>
      <dgm:spPr/>
      <dgm:t>
        <a:bodyPr/>
        <a:lstStyle/>
        <a:p>
          <a:endParaRPr lang="pt-BR"/>
        </a:p>
      </dgm:t>
    </dgm:pt>
    <dgm:pt modelId="{917743FF-440D-4528-AB60-B28331E85D6A}">
      <dgm:prSet/>
      <dgm:spPr/>
      <dgm:t>
        <a:bodyPr/>
        <a:lstStyle/>
        <a:p>
          <a:r>
            <a:rPr lang="pt-BR"/>
            <a:t>MÓDULO DE CLIENTES</a:t>
          </a:r>
        </a:p>
      </dgm:t>
    </dgm:pt>
    <dgm:pt modelId="{B9C1F6B3-5F2B-4E62-8081-E4442A4A1FAD}" type="parTrans" cxnId="{D43F14CA-EEE0-4EB3-BAA3-051DB173F46B}">
      <dgm:prSet/>
      <dgm:spPr/>
      <dgm:t>
        <a:bodyPr/>
        <a:lstStyle/>
        <a:p>
          <a:endParaRPr lang="pt-BR"/>
        </a:p>
      </dgm:t>
    </dgm:pt>
    <dgm:pt modelId="{735997C4-5873-4EEF-BF94-1C53F75DD8A4}" type="sibTrans" cxnId="{D43F14CA-EEE0-4EB3-BAA3-051DB173F46B}">
      <dgm:prSet/>
      <dgm:spPr/>
      <dgm:t>
        <a:bodyPr/>
        <a:lstStyle/>
        <a:p>
          <a:endParaRPr lang="pt-BR"/>
        </a:p>
      </dgm:t>
    </dgm:pt>
    <dgm:pt modelId="{430BF0AC-52B7-4EED-8F15-681320EC2F7B}">
      <dgm:prSet/>
      <dgm:spPr/>
      <dgm:t>
        <a:bodyPr/>
        <a:lstStyle/>
        <a:p>
          <a:r>
            <a:rPr lang="pt-BR"/>
            <a:t>MÓDULO DE PEDIDOS</a:t>
          </a:r>
        </a:p>
      </dgm:t>
    </dgm:pt>
    <dgm:pt modelId="{06E0F6A0-52CD-4AD0-B032-3E8351A6904A}" type="parTrans" cxnId="{6789E164-0A5C-4FB7-A536-99DA5B4313D3}">
      <dgm:prSet/>
      <dgm:spPr/>
      <dgm:t>
        <a:bodyPr/>
        <a:lstStyle/>
        <a:p>
          <a:endParaRPr lang="pt-BR"/>
        </a:p>
      </dgm:t>
    </dgm:pt>
    <dgm:pt modelId="{A5263FEA-DEBA-4AFC-80A7-8A5481FFA6CE}" type="sibTrans" cxnId="{6789E164-0A5C-4FB7-A536-99DA5B4313D3}">
      <dgm:prSet/>
      <dgm:spPr/>
      <dgm:t>
        <a:bodyPr/>
        <a:lstStyle/>
        <a:p>
          <a:endParaRPr lang="pt-BR"/>
        </a:p>
      </dgm:t>
    </dgm:pt>
    <dgm:pt modelId="{E9EF6321-BDC6-43E1-A26E-2B9EACADF4BF}">
      <dgm:prSet/>
      <dgm:spPr>
        <a:solidFill>
          <a:schemeClr val="accent6">
            <a:lumMod val="75000"/>
          </a:schemeClr>
        </a:solidFill>
      </dgm:spPr>
      <dgm:t>
        <a:bodyPr/>
        <a:lstStyle/>
        <a:p>
          <a:r>
            <a:rPr lang="pt-BR" b="1"/>
            <a:t>PÓS-LANÇAMENTO E APERFEIÇOAMENTO</a:t>
          </a:r>
        </a:p>
      </dgm:t>
    </dgm:pt>
    <dgm:pt modelId="{5331C244-1A35-47AD-AE2D-510F978AF134}" type="parTrans" cxnId="{855872E4-9C5D-4F4C-B51A-10F359ADF7C3}">
      <dgm:prSet/>
      <dgm:spPr/>
      <dgm:t>
        <a:bodyPr/>
        <a:lstStyle/>
        <a:p>
          <a:endParaRPr lang="pt-BR"/>
        </a:p>
      </dgm:t>
    </dgm:pt>
    <dgm:pt modelId="{FAEB81D0-4BB1-465E-A407-26083478038F}" type="sibTrans" cxnId="{855872E4-9C5D-4F4C-B51A-10F359ADF7C3}">
      <dgm:prSet/>
      <dgm:spPr/>
      <dgm:t>
        <a:bodyPr/>
        <a:lstStyle/>
        <a:p>
          <a:endParaRPr lang="pt-BR"/>
        </a:p>
      </dgm:t>
    </dgm:pt>
    <dgm:pt modelId="{4FA373F6-47D9-4B2D-A492-ABB571C4C6BA}">
      <dgm:prSet/>
      <dgm:spPr/>
      <dgm:t>
        <a:bodyPr/>
        <a:lstStyle/>
        <a:p>
          <a:r>
            <a:rPr lang="pt-BR"/>
            <a:t>MONITORAMENTO DE USO</a:t>
          </a:r>
        </a:p>
      </dgm:t>
    </dgm:pt>
    <dgm:pt modelId="{2F6409B2-2601-47E8-997C-C9D29C9A9177}" type="parTrans" cxnId="{FAD6AF58-B8D0-4A89-A77F-5D6E37F03E1E}">
      <dgm:prSet/>
      <dgm:spPr/>
      <dgm:t>
        <a:bodyPr/>
        <a:lstStyle/>
        <a:p>
          <a:endParaRPr lang="pt-BR"/>
        </a:p>
      </dgm:t>
    </dgm:pt>
    <dgm:pt modelId="{84FE6671-3CCA-4947-8EC9-31EE3A895F6F}" type="sibTrans" cxnId="{FAD6AF58-B8D0-4A89-A77F-5D6E37F03E1E}">
      <dgm:prSet/>
      <dgm:spPr/>
      <dgm:t>
        <a:bodyPr/>
        <a:lstStyle/>
        <a:p>
          <a:endParaRPr lang="pt-BR"/>
        </a:p>
      </dgm:t>
    </dgm:pt>
    <dgm:pt modelId="{E70B908E-5028-4625-8010-10C6DA017306}">
      <dgm:prSet/>
      <dgm:spPr/>
      <dgm:t>
        <a:bodyPr/>
        <a:lstStyle/>
        <a:p>
          <a:r>
            <a:rPr lang="pt-BR"/>
            <a:t>ATUALIZAÇÕES E MELHORIAS</a:t>
          </a:r>
        </a:p>
      </dgm:t>
    </dgm:pt>
    <dgm:pt modelId="{CDBA7F68-5616-42C3-87B6-B08799E34C04}" type="parTrans" cxnId="{4A15AF62-902A-4D15-AF79-ECC4A0563F2F}">
      <dgm:prSet/>
      <dgm:spPr/>
      <dgm:t>
        <a:bodyPr/>
        <a:lstStyle/>
        <a:p>
          <a:endParaRPr lang="pt-BR"/>
        </a:p>
      </dgm:t>
    </dgm:pt>
    <dgm:pt modelId="{60E901BD-0EE6-4514-A73F-40E557FCE2B6}" type="sibTrans" cxnId="{4A15AF62-902A-4D15-AF79-ECC4A0563F2F}">
      <dgm:prSet/>
      <dgm:spPr/>
      <dgm:t>
        <a:bodyPr/>
        <a:lstStyle/>
        <a:p>
          <a:endParaRPr lang="pt-BR"/>
        </a:p>
      </dgm:t>
    </dgm:pt>
    <dgm:pt modelId="{CCF0DAF2-AEED-4084-8F6B-83AE3DFC303F}">
      <dgm:prSet/>
      <dgm:spPr/>
      <dgm:t>
        <a:bodyPr/>
        <a:lstStyle/>
        <a:p>
          <a:r>
            <a:rPr lang="pt-BR"/>
            <a:t>EXPANSÃO</a:t>
          </a:r>
        </a:p>
      </dgm:t>
    </dgm:pt>
    <dgm:pt modelId="{4D6B307A-4584-4EC4-BF8E-39534B90ABCA}" type="parTrans" cxnId="{C8A00AE6-2754-45B4-B7FD-2E466FCDDC07}">
      <dgm:prSet/>
      <dgm:spPr/>
      <dgm:t>
        <a:bodyPr/>
        <a:lstStyle/>
        <a:p>
          <a:endParaRPr lang="pt-BR"/>
        </a:p>
      </dgm:t>
    </dgm:pt>
    <dgm:pt modelId="{0695C82D-A075-4FB0-A057-871E4C20D9B0}" type="sibTrans" cxnId="{C8A00AE6-2754-45B4-B7FD-2E466FCDDC07}">
      <dgm:prSet/>
      <dgm:spPr/>
      <dgm:t>
        <a:bodyPr/>
        <a:lstStyle/>
        <a:p>
          <a:endParaRPr lang="pt-BR"/>
        </a:p>
      </dgm:t>
    </dgm:pt>
    <dgm:pt modelId="{845EDEF1-810E-4386-8221-52E9C18C5CE6}">
      <dgm:prSet/>
      <dgm:spPr/>
      <dgm:t>
        <a:bodyPr/>
        <a:lstStyle/>
        <a:p>
          <a:r>
            <a:rPr lang="pt-BR"/>
            <a:t>ANÁLISE DE NOVAS FUNCIONALIDADES</a:t>
          </a:r>
        </a:p>
      </dgm:t>
    </dgm:pt>
    <dgm:pt modelId="{2E0B2EE9-BD0C-4324-BD85-48F7857284E2}" type="parTrans" cxnId="{13CA32DD-DC61-4399-B2AE-5DF1F1C07AC5}">
      <dgm:prSet/>
      <dgm:spPr/>
      <dgm:t>
        <a:bodyPr/>
        <a:lstStyle/>
        <a:p>
          <a:endParaRPr lang="pt-BR"/>
        </a:p>
      </dgm:t>
    </dgm:pt>
    <dgm:pt modelId="{BCB05A92-FB11-4534-9B93-2FFC51666E17}" type="sibTrans" cxnId="{13CA32DD-DC61-4399-B2AE-5DF1F1C07AC5}">
      <dgm:prSet/>
      <dgm:spPr/>
      <dgm:t>
        <a:bodyPr/>
        <a:lstStyle/>
        <a:p>
          <a:endParaRPr lang="pt-BR"/>
        </a:p>
      </dgm:t>
    </dgm:pt>
    <dgm:pt modelId="{90431E3C-4F42-4628-B684-A96161BFF430}" type="pres">
      <dgm:prSet presAssocID="{0CFB7DD9-0DA5-4E4C-8DA3-9F1B6119F4C6}" presName="hierChild1" presStyleCnt="0">
        <dgm:presLayoutVars>
          <dgm:orgChart val="1"/>
          <dgm:chPref val="1"/>
          <dgm:dir/>
          <dgm:animOne val="branch"/>
          <dgm:animLvl val="lvl"/>
          <dgm:resizeHandles/>
        </dgm:presLayoutVars>
      </dgm:prSet>
      <dgm:spPr/>
    </dgm:pt>
    <dgm:pt modelId="{0A189367-43EC-4441-BA08-750B899E9469}" type="pres">
      <dgm:prSet presAssocID="{0102E4FE-20A8-44CB-9044-37DB2019EEF7}" presName="hierRoot1" presStyleCnt="0">
        <dgm:presLayoutVars>
          <dgm:hierBranch val="init"/>
        </dgm:presLayoutVars>
      </dgm:prSet>
      <dgm:spPr/>
    </dgm:pt>
    <dgm:pt modelId="{360B80A0-E040-4231-A03C-DB4C44D4BEFB}" type="pres">
      <dgm:prSet presAssocID="{0102E4FE-20A8-44CB-9044-37DB2019EEF7}" presName="rootComposite1" presStyleCnt="0"/>
      <dgm:spPr/>
    </dgm:pt>
    <dgm:pt modelId="{2D883808-430E-40D8-8B07-302E85302A34}" type="pres">
      <dgm:prSet presAssocID="{0102E4FE-20A8-44CB-9044-37DB2019EEF7}" presName="rootText1" presStyleLbl="node0" presStyleIdx="0" presStyleCnt="1" custScaleX="150162" custScaleY="128812" custLinFactY="-34665" custLinFactNeighborX="-6143" custLinFactNeighborY="-100000">
        <dgm:presLayoutVars>
          <dgm:chPref val="3"/>
        </dgm:presLayoutVars>
      </dgm:prSet>
      <dgm:spPr/>
    </dgm:pt>
    <dgm:pt modelId="{9E54A725-AB28-4B64-8844-9F2951F2F7A0}" type="pres">
      <dgm:prSet presAssocID="{0102E4FE-20A8-44CB-9044-37DB2019EEF7}" presName="rootConnector1" presStyleLbl="node1" presStyleIdx="0" presStyleCnt="0"/>
      <dgm:spPr/>
    </dgm:pt>
    <dgm:pt modelId="{7F944FE0-D2A2-405B-BDFF-D1897631706E}" type="pres">
      <dgm:prSet presAssocID="{0102E4FE-20A8-44CB-9044-37DB2019EEF7}" presName="hierChild2" presStyleCnt="0"/>
      <dgm:spPr/>
    </dgm:pt>
    <dgm:pt modelId="{7BA6A4CA-F40E-4826-9E97-95062F5DD647}" type="pres">
      <dgm:prSet presAssocID="{D6922E7D-1806-4E3F-8FA5-876C5E53C8A8}" presName="Name37" presStyleLbl="parChTrans1D2" presStyleIdx="0" presStyleCnt="8"/>
      <dgm:spPr/>
    </dgm:pt>
    <dgm:pt modelId="{92667419-A898-4795-9C0E-361368D04859}" type="pres">
      <dgm:prSet presAssocID="{8D244D8F-C792-40BC-A511-7DE39E45E194}" presName="hierRoot2" presStyleCnt="0">
        <dgm:presLayoutVars>
          <dgm:hierBranch val="init"/>
        </dgm:presLayoutVars>
      </dgm:prSet>
      <dgm:spPr/>
    </dgm:pt>
    <dgm:pt modelId="{AAE10948-D9BD-4DD1-83D8-C8238129D30B}" type="pres">
      <dgm:prSet presAssocID="{8D244D8F-C792-40BC-A511-7DE39E45E194}" presName="rootComposite" presStyleCnt="0"/>
      <dgm:spPr/>
    </dgm:pt>
    <dgm:pt modelId="{4C9AEEA8-806B-4221-A8CF-497F84C39D63}" type="pres">
      <dgm:prSet presAssocID="{8D244D8F-C792-40BC-A511-7DE39E45E194}" presName="rootText" presStyleLbl="node2" presStyleIdx="0" presStyleCnt="8" custScaleX="76938" custLinFactNeighborX="-2261">
        <dgm:presLayoutVars>
          <dgm:chPref val="3"/>
        </dgm:presLayoutVars>
      </dgm:prSet>
      <dgm:spPr/>
    </dgm:pt>
    <dgm:pt modelId="{CFC31A14-C94F-4A30-A37D-372AB6BB600E}" type="pres">
      <dgm:prSet presAssocID="{8D244D8F-C792-40BC-A511-7DE39E45E194}" presName="rootConnector" presStyleLbl="node2" presStyleIdx="0" presStyleCnt="8"/>
      <dgm:spPr/>
    </dgm:pt>
    <dgm:pt modelId="{CFE7259F-6958-4278-B532-D5FC1DF0D989}" type="pres">
      <dgm:prSet presAssocID="{8D244D8F-C792-40BC-A511-7DE39E45E194}" presName="hierChild4" presStyleCnt="0"/>
      <dgm:spPr/>
    </dgm:pt>
    <dgm:pt modelId="{0DBA4C10-E38C-4A57-BDCF-A02983AC86EA}" type="pres">
      <dgm:prSet presAssocID="{B5B99BBF-342F-4A4E-BF02-3E97606E944D}" presName="Name37" presStyleLbl="parChTrans1D3" presStyleIdx="0" presStyleCnt="22"/>
      <dgm:spPr/>
    </dgm:pt>
    <dgm:pt modelId="{F7237C1A-2CFF-4D51-9968-643427BC722B}" type="pres">
      <dgm:prSet presAssocID="{B6389D6D-8AE5-4B3C-9BF6-CF7D2B974EDD}" presName="hierRoot2" presStyleCnt="0">
        <dgm:presLayoutVars>
          <dgm:hierBranch val="init"/>
        </dgm:presLayoutVars>
      </dgm:prSet>
      <dgm:spPr/>
    </dgm:pt>
    <dgm:pt modelId="{1F57570A-EEE3-4AFE-93E6-A976FA9C51FD}" type="pres">
      <dgm:prSet presAssocID="{B6389D6D-8AE5-4B3C-9BF6-CF7D2B974EDD}" presName="rootComposite" presStyleCnt="0"/>
      <dgm:spPr/>
    </dgm:pt>
    <dgm:pt modelId="{9E9FE827-52A4-46D9-ADB2-E6FCF0B9E008}" type="pres">
      <dgm:prSet presAssocID="{B6389D6D-8AE5-4B3C-9BF6-CF7D2B974EDD}" presName="rootText" presStyleLbl="node3" presStyleIdx="0" presStyleCnt="22">
        <dgm:presLayoutVars>
          <dgm:chPref val="3"/>
        </dgm:presLayoutVars>
      </dgm:prSet>
      <dgm:spPr/>
    </dgm:pt>
    <dgm:pt modelId="{45896F72-DCDE-404C-8364-99656B71FFED}" type="pres">
      <dgm:prSet presAssocID="{B6389D6D-8AE5-4B3C-9BF6-CF7D2B974EDD}" presName="rootConnector" presStyleLbl="node3" presStyleIdx="0" presStyleCnt="22"/>
      <dgm:spPr/>
    </dgm:pt>
    <dgm:pt modelId="{09EFDB36-E5B0-4407-8281-5D4F42D16FE0}" type="pres">
      <dgm:prSet presAssocID="{B6389D6D-8AE5-4B3C-9BF6-CF7D2B974EDD}" presName="hierChild4" presStyleCnt="0"/>
      <dgm:spPr/>
    </dgm:pt>
    <dgm:pt modelId="{2F132628-32FC-4EEB-A2B9-3E7324D5716F}" type="pres">
      <dgm:prSet presAssocID="{B6389D6D-8AE5-4B3C-9BF6-CF7D2B974EDD}" presName="hierChild5" presStyleCnt="0"/>
      <dgm:spPr/>
    </dgm:pt>
    <dgm:pt modelId="{7BD786B8-780D-4619-A5E3-357F0EDAE2E4}" type="pres">
      <dgm:prSet presAssocID="{CB1CFF7C-42F1-4A09-8B31-0773BB970F24}" presName="Name37" presStyleLbl="parChTrans1D3" presStyleIdx="1" presStyleCnt="22"/>
      <dgm:spPr/>
    </dgm:pt>
    <dgm:pt modelId="{FF449168-822C-418C-9CA1-B101D096CF90}" type="pres">
      <dgm:prSet presAssocID="{939AE253-A7E2-4EBA-B997-5913C2301F5A}" presName="hierRoot2" presStyleCnt="0">
        <dgm:presLayoutVars>
          <dgm:hierBranch val="init"/>
        </dgm:presLayoutVars>
      </dgm:prSet>
      <dgm:spPr/>
    </dgm:pt>
    <dgm:pt modelId="{FDC422C0-CC05-449C-8033-C172FF181AD5}" type="pres">
      <dgm:prSet presAssocID="{939AE253-A7E2-4EBA-B997-5913C2301F5A}" presName="rootComposite" presStyleCnt="0"/>
      <dgm:spPr/>
    </dgm:pt>
    <dgm:pt modelId="{CF1CE0D6-2000-45B7-B412-882350AF6F25}" type="pres">
      <dgm:prSet presAssocID="{939AE253-A7E2-4EBA-B997-5913C2301F5A}" presName="rootText" presStyleLbl="node3" presStyleIdx="1" presStyleCnt="22">
        <dgm:presLayoutVars>
          <dgm:chPref val="3"/>
        </dgm:presLayoutVars>
      </dgm:prSet>
      <dgm:spPr/>
    </dgm:pt>
    <dgm:pt modelId="{E332D8F5-24D1-438A-A88D-967661A9895B}" type="pres">
      <dgm:prSet presAssocID="{939AE253-A7E2-4EBA-B997-5913C2301F5A}" presName="rootConnector" presStyleLbl="node3" presStyleIdx="1" presStyleCnt="22"/>
      <dgm:spPr/>
    </dgm:pt>
    <dgm:pt modelId="{0945C784-5EB4-4170-B227-C25054AACF2B}" type="pres">
      <dgm:prSet presAssocID="{939AE253-A7E2-4EBA-B997-5913C2301F5A}" presName="hierChild4" presStyleCnt="0"/>
      <dgm:spPr/>
    </dgm:pt>
    <dgm:pt modelId="{795D698A-1823-4D67-A0CE-2685E9EB05B4}" type="pres">
      <dgm:prSet presAssocID="{939AE253-A7E2-4EBA-B997-5913C2301F5A}" presName="hierChild5" presStyleCnt="0"/>
      <dgm:spPr/>
    </dgm:pt>
    <dgm:pt modelId="{A210511E-8313-4F28-990A-429088BA3B3F}" type="pres">
      <dgm:prSet presAssocID="{D433E747-1E2C-41A0-B616-42B31870972F}" presName="Name37" presStyleLbl="parChTrans1D3" presStyleIdx="2" presStyleCnt="22"/>
      <dgm:spPr/>
    </dgm:pt>
    <dgm:pt modelId="{662A03C9-0D7D-4233-877E-650105F68909}" type="pres">
      <dgm:prSet presAssocID="{6ED531EE-0BC7-4118-B43F-7D8D436633A8}" presName="hierRoot2" presStyleCnt="0">
        <dgm:presLayoutVars>
          <dgm:hierBranch val="init"/>
        </dgm:presLayoutVars>
      </dgm:prSet>
      <dgm:spPr/>
    </dgm:pt>
    <dgm:pt modelId="{3F4608E4-44E4-4C09-98F7-7A5196AC4942}" type="pres">
      <dgm:prSet presAssocID="{6ED531EE-0BC7-4118-B43F-7D8D436633A8}" presName="rootComposite" presStyleCnt="0"/>
      <dgm:spPr/>
    </dgm:pt>
    <dgm:pt modelId="{422A5DCC-F310-4179-AC5C-3A5AA9AB3509}" type="pres">
      <dgm:prSet presAssocID="{6ED531EE-0BC7-4118-B43F-7D8D436633A8}" presName="rootText" presStyleLbl="node3" presStyleIdx="2" presStyleCnt="22">
        <dgm:presLayoutVars>
          <dgm:chPref val="3"/>
        </dgm:presLayoutVars>
      </dgm:prSet>
      <dgm:spPr/>
    </dgm:pt>
    <dgm:pt modelId="{D3BF38C4-1821-483A-AF26-C595ECE3E4B8}" type="pres">
      <dgm:prSet presAssocID="{6ED531EE-0BC7-4118-B43F-7D8D436633A8}" presName="rootConnector" presStyleLbl="node3" presStyleIdx="2" presStyleCnt="22"/>
      <dgm:spPr/>
    </dgm:pt>
    <dgm:pt modelId="{1A67025E-7A13-4535-954B-C51FC9C3959C}" type="pres">
      <dgm:prSet presAssocID="{6ED531EE-0BC7-4118-B43F-7D8D436633A8}" presName="hierChild4" presStyleCnt="0"/>
      <dgm:spPr/>
    </dgm:pt>
    <dgm:pt modelId="{F58C77E7-E7F0-45FB-BD57-CF2EA3EB7FD9}" type="pres">
      <dgm:prSet presAssocID="{6ED531EE-0BC7-4118-B43F-7D8D436633A8}" presName="hierChild5" presStyleCnt="0"/>
      <dgm:spPr/>
    </dgm:pt>
    <dgm:pt modelId="{529C72D2-9829-43B0-839C-5E27E8D16E0A}" type="pres">
      <dgm:prSet presAssocID="{8D244D8F-C792-40BC-A511-7DE39E45E194}" presName="hierChild5" presStyleCnt="0"/>
      <dgm:spPr/>
    </dgm:pt>
    <dgm:pt modelId="{3CD38DC8-3D55-42DE-AD09-72BD953ED7FB}" type="pres">
      <dgm:prSet presAssocID="{E2EA6942-20E6-4D51-99FA-C77C5E746936}" presName="Name37" presStyleLbl="parChTrans1D2" presStyleIdx="1" presStyleCnt="8"/>
      <dgm:spPr/>
    </dgm:pt>
    <dgm:pt modelId="{596C2A0E-FAAA-4C19-8F64-3F40373672C6}" type="pres">
      <dgm:prSet presAssocID="{809B22AA-EB2B-4C4F-82C3-E979FD4CF357}" presName="hierRoot2" presStyleCnt="0">
        <dgm:presLayoutVars>
          <dgm:hierBranch val="init"/>
        </dgm:presLayoutVars>
      </dgm:prSet>
      <dgm:spPr/>
    </dgm:pt>
    <dgm:pt modelId="{E1CC195C-D0F1-48C8-A703-25242680FC8E}" type="pres">
      <dgm:prSet presAssocID="{809B22AA-EB2B-4C4F-82C3-E979FD4CF357}" presName="rootComposite" presStyleCnt="0"/>
      <dgm:spPr/>
    </dgm:pt>
    <dgm:pt modelId="{D170E32D-A43F-4CAB-A215-C289F970862B}" type="pres">
      <dgm:prSet presAssocID="{809B22AA-EB2B-4C4F-82C3-E979FD4CF357}" presName="rootText" presStyleLbl="node2" presStyleIdx="1" presStyleCnt="8" custScaleX="100441" custLinFactNeighborY="-2145">
        <dgm:presLayoutVars>
          <dgm:chPref val="3"/>
        </dgm:presLayoutVars>
      </dgm:prSet>
      <dgm:spPr/>
    </dgm:pt>
    <dgm:pt modelId="{18E317F2-7CF2-4DFD-9CA0-4A1E8C4ACD68}" type="pres">
      <dgm:prSet presAssocID="{809B22AA-EB2B-4C4F-82C3-E979FD4CF357}" presName="rootConnector" presStyleLbl="node2" presStyleIdx="1" presStyleCnt="8"/>
      <dgm:spPr/>
    </dgm:pt>
    <dgm:pt modelId="{C4D3DF99-A745-4C02-9204-B9053A10435D}" type="pres">
      <dgm:prSet presAssocID="{809B22AA-EB2B-4C4F-82C3-E979FD4CF357}" presName="hierChild4" presStyleCnt="0"/>
      <dgm:spPr/>
    </dgm:pt>
    <dgm:pt modelId="{B935FBDA-E2AB-49CA-8CF4-754257839CD4}" type="pres">
      <dgm:prSet presAssocID="{9792CF75-292C-4BCA-A2CF-C2FA68F001BD}" presName="Name37" presStyleLbl="parChTrans1D3" presStyleIdx="3" presStyleCnt="22"/>
      <dgm:spPr/>
    </dgm:pt>
    <dgm:pt modelId="{7E32E146-A64A-4070-B7C5-30A5B73717C1}" type="pres">
      <dgm:prSet presAssocID="{97F38E1B-8B0A-4C1C-BB0E-8DC2824BBDEE}" presName="hierRoot2" presStyleCnt="0">
        <dgm:presLayoutVars>
          <dgm:hierBranch val="init"/>
        </dgm:presLayoutVars>
      </dgm:prSet>
      <dgm:spPr/>
    </dgm:pt>
    <dgm:pt modelId="{94CCBCF2-D29F-4CE4-9F38-9A0619F3E636}" type="pres">
      <dgm:prSet presAssocID="{97F38E1B-8B0A-4C1C-BB0E-8DC2824BBDEE}" presName="rootComposite" presStyleCnt="0"/>
      <dgm:spPr/>
    </dgm:pt>
    <dgm:pt modelId="{8D28DA9C-651E-493C-AEB4-8DE7C4670A76}" type="pres">
      <dgm:prSet presAssocID="{97F38E1B-8B0A-4C1C-BB0E-8DC2824BBDEE}" presName="rootText" presStyleLbl="node3" presStyleIdx="3" presStyleCnt="22">
        <dgm:presLayoutVars>
          <dgm:chPref val="3"/>
        </dgm:presLayoutVars>
      </dgm:prSet>
      <dgm:spPr/>
    </dgm:pt>
    <dgm:pt modelId="{CAC4091A-492F-459B-840C-5F8135FD499F}" type="pres">
      <dgm:prSet presAssocID="{97F38E1B-8B0A-4C1C-BB0E-8DC2824BBDEE}" presName="rootConnector" presStyleLbl="node3" presStyleIdx="3" presStyleCnt="22"/>
      <dgm:spPr/>
    </dgm:pt>
    <dgm:pt modelId="{3F86CAF0-921B-456C-9C30-B205CF6EDFAB}" type="pres">
      <dgm:prSet presAssocID="{97F38E1B-8B0A-4C1C-BB0E-8DC2824BBDEE}" presName="hierChild4" presStyleCnt="0"/>
      <dgm:spPr/>
    </dgm:pt>
    <dgm:pt modelId="{AAF5925E-A439-4734-BFA7-0209F1E034E0}" type="pres">
      <dgm:prSet presAssocID="{B7B3C6AE-DFBB-46A9-8CF1-A1BD803B9409}" presName="Name37" presStyleLbl="parChTrans1D4" presStyleIdx="0" presStyleCnt="15"/>
      <dgm:spPr/>
    </dgm:pt>
    <dgm:pt modelId="{E4ACDD6B-0637-4F25-B692-478DE4CD1E8A}" type="pres">
      <dgm:prSet presAssocID="{86AF350A-A785-4BDD-9C13-1E90196942B4}" presName="hierRoot2" presStyleCnt="0">
        <dgm:presLayoutVars>
          <dgm:hierBranch val="init"/>
        </dgm:presLayoutVars>
      </dgm:prSet>
      <dgm:spPr/>
    </dgm:pt>
    <dgm:pt modelId="{D26411F1-3269-4B53-8632-15971C6AADE7}" type="pres">
      <dgm:prSet presAssocID="{86AF350A-A785-4BDD-9C13-1E90196942B4}" presName="rootComposite" presStyleCnt="0"/>
      <dgm:spPr/>
    </dgm:pt>
    <dgm:pt modelId="{72AC346F-2F4E-444E-8C03-BD2A3B5A48DE}" type="pres">
      <dgm:prSet presAssocID="{86AF350A-A785-4BDD-9C13-1E90196942B4}" presName="rootText" presStyleLbl="node4" presStyleIdx="0" presStyleCnt="15">
        <dgm:presLayoutVars>
          <dgm:chPref val="3"/>
        </dgm:presLayoutVars>
      </dgm:prSet>
      <dgm:spPr/>
    </dgm:pt>
    <dgm:pt modelId="{61BD3AC5-6CF6-4CA9-B7DA-7A4EF7D20243}" type="pres">
      <dgm:prSet presAssocID="{86AF350A-A785-4BDD-9C13-1E90196942B4}" presName="rootConnector" presStyleLbl="node4" presStyleIdx="0" presStyleCnt="15"/>
      <dgm:spPr/>
    </dgm:pt>
    <dgm:pt modelId="{417D4C16-6F47-45C2-BFA4-54B9F621B68C}" type="pres">
      <dgm:prSet presAssocID="{86AF350A-A785-4BDD-9C13-1E90196942B4}" presName="hierChild4" presStyleCnt="0"/>
      <dgm:spPr/>
    </dgm:pt>
    <dgm:pt modelId="{6E904246-481F-4578-AD91-764D29E6D564}" type="pres">
      <dgm:prSet presAssocID="{E0114C20-3A39-4242-9BD4-7E3A42C0079E}" presName="Name37" presStyleLbl="parChTrans1D4" presStyleIdx="1" presStyleCnt="15"/>
      <dgm:spPr/>
    </dgm:pt>
    <dgm:pt modelId="{3F7226FF-427D-42A9-8B80-A751CA140B09}" type="pres">
      <dgm:prSet presAssocID="{95643014-9364-4ED7-A23C-11FF87634454}" presName="hierRoot2" presStyleCnt="0">
        <dgm:presLayoutVars>
          <dgm:hierBranch val="init"/>
        </dgm:presLayoutVars>
      </dgm:prSet>
      <dgm:spPr/>
    </dgm:pt>
    <dgm:pt modelId="{0A246336-23C1-4668-9722-4DF692D3DE4E}" type="pres">
      <dgm:prSet presAssocID="{95643014-9364-4ED7-A23C-11FF87634454}" presName="rootComposite" presStyleCnt="0"/>
      <dgm:spPr/>
    </dgm:pt>
    <dgm:pt modelId="{3C105CD6-BA5F-4296-9ADF-C21FEB294665}" type="pres">
      <dgm:prSet presAssocID="{95643014-9364-4ED7-A23C-11FF87634454}" presName="rootText" presStyleLbl="node4" presStyleIdx="1" presStyleCnt="15">
        <dgm:presLayoutVars>
          <dgm:chPref val="3"/>
        </dgm:presLayoutVars>
      </dgm:prSet>
      <dgm:spPr/>
    </dgm:pt>
    <dgm:pt modelId="{385FC982-988E-4302-98BB-D7460D5505EC}" type="pres">
      <dgm:prSet presAssocID="{95643014-9364-4ED7-A23C-11FF87634454}" presName="rootConnector" presStyleLbl="node4" presStyleIdx="1" presStyleCnt="15"/>
      <dgm:spPr/>
    </dgm:pt>
    <dgm:pt modelId="{FDB3ABF0-E8E8-4CD0-853A-E48F1654371B}" type="pres">
      <dgm:prSet presAssocID="{95643014-9364-4ED7-A23C-11FF87634454}" presName="hierChild4" presStyleCnt="0"/>
      <dgm:spPr/>
    </dgm:pt>
    <dgm:pt modelId="{ECAD813E-F69E-4493-8464-0EFC6AD53AB3}" type="pres">
      <dgm:prSet presAssocID="{95643014-9364-4ED7-A23C-11FF87634454}" presName="hierChild5" presStyleCnt="0"/>
      <dgm:spPr/>
    </dgm:pt>
    <dgm:pt modelId="{2BE8EFB2-4965-4609-B1C2-1F507D9025F0}" type="pres">
      <dgm:prSet presAssocID="{4661214A-AF71-4F01-B5B7-3BAE62E034B1}" presName="Name37" presStyleLbl="parChTrans1D4" presStyleIdx="2" presStyleCnt="15"/>
      <dgm:spPr/>
    </dgm:pt>
    <dgm:pt modelId="{F775338A-84A5-49A8-AF6A-9BA8BA981152}" type="pres">
      <dgm:prSet presAssocID="{85C9611E-0EC3-4C90-8306-3D5D07DB36F8}" presName="hierRoot2" presStyleCnt="0">
        <dgm:presLayoutVars>
          <dgm:hierBranch val="init"/>
        </dgm:presLayoutVars>
      </dgm:prSet>
      <dgm:spPr/>
    </dgm:pt>
    <dgm:pt modelId="{A9AA2BB9-9808-4E50-B65D-A1D192D8B270}" type="pres">
      <dgm:prSet presAssocID="{85C9611E-0EC3-4C90-8306-3D5D07DB36F8}" presName="rootComposite" presStyleCnt="0"/>
      <dgm:spPr/>
    </dgm:pt>
    <dgm:pt modelId="{539C43EC-88FB-4101-BFC8-2FBEBDCB1CFF}" type="pres">
      <dgm:prSet presAssocID="{85C9611E-0EC3-4C90-8306-3D5D07DB36F8}" presName="rootText" presStyleLbl="node4" presStyleIdx="2" presStyleCnt="15">
        <dgm:presLayoutVars>
          <dgm:chPref val="3"/>
        </dgm:presLayoutVars>
      </dgm:prSet>
      <dgm:spPr/>
    </dgm:pt>
    <dgm:pt modelId="{37EBA9EA-1D7F-4485-92CD-286075E5D657}" type="pres">
      <dgm:prSet presAssocID="{85C9611E-0EC3-4C90-8306-3D5D07DB36F8}" presName="rootConnector" presStyleLbl="node4" presStyleIdx="2" presStyleCnt="15"/>
      <dgm:spPr/>
    </dgm:pt>
    <dgm:pt modelId="{57E2BC50-0927-4908-AF16-2DC1A7ABAA91}" type="pres">
      <dgm:prSet presAssocID="{85C9611E-0EC3-4C90-8306-3D5D07DB36F8}" presName="hierChild4" presStyleCnt="0"/>
      <dgm:spPr/>
    </dgm:pt>
    <dgm:pt modelId="{7122834D-968C-4F51-82BF-8F187CEE81CA}" type="pres">
      <dgm:prSet presAssocID="{85C9611E-0EC3-4C90-8306-3D5D07DB36F8}" presName="hierChild5" presStyleCnt="0"/>
      <dgm:spPr/>
    </dgm:pt>
    <dgm:pt modelId="{B03BF5AB-02EB-4D85-9282-46894415A7C4}" type="pres">
      <dgm:prSet presAssocID="{DCA270CC-2A75-49E7-89B8-4B3AC5996B9D}" presName="Name37" presStyleLbl="parChTrans1D4" presStyleIdx="3" presStyleCnt="15"/>
      <dgm:spPr/>
    </dgm:pt>
    <dgm:pt modelId="{4EA350DD-0CE0-4931-8C0F-DBE036A1099D}" type="pres">
      <dgm:prSet presAssocID="{C2EFE54E-DDBB-4937-AAAF-B8E47F74D697}" presName="hierRoot2" presStyleCnt="0">
        <dgm:presLayoutVars>
          <dgm:hierBranch val="init"/>
        </dgm:presLayoutVars>
      </dgm:prSet>
      <dgm:spPr/>
    </dgm:pt>
    <dgm:pt modelId="{CD2F0EF6-63DD-4908-8B36-685448BC48E8}" type="pres">
      <dgm:prSet presAssocID="{C2EFE54E-DDBB-4937-AAAF-B8E47F74D697}" presName="rootComposite" presStyleCnt="0"/>
      <dgm:spPr/>
    </dgm:pt>
    <dgm:pt modelId="{042C9D99-30E8-4921-9EB9-EBE3CC59CEFA}" type="pres">
      <dgm:prSet presAssocID="{C2EFE54E-DDBB-4937-AAAF-B8E47F74D697}" presName="rootText" presStyleLbl="node4" presStyleIdx="3" presStyleCnt="15">
        <dgm:presLayoutVars>
          <dgm:chPref val="3"/>
        </dgm:presLayoutVars>
      </dgm:prSet>
      <dgm:spPr/>
    </dgm:pt>
    <dgm:pt modelId="{3EDBFA9C-F817-479F-9192-D74217624230}" type="pres">
      <dgm:prSet presAssocID="{C2EFE54E-DDBB-4937-AAAF-B8E47F74D697}" presName="rootConnector" presStyleLbl="node4" presStyleIdx="3" presStyleCnt="15"/>
      <dgm:spPr/>
    </dgm:pt>
    <dgm:pt modelId="{B4F1833F-49EE-4B21-B613-A1E34BCE673C}" type="pres">
      <dgm:prSet presAssocID="{C2EFE54E-DDBB-4937-AAAF-B8E47F74D697}" presName="hierChild4" presStyleCnt="0"/>
      <dgm:spPr/>
    </dgm:pt>
    <dgm:pt modelId="{7B2A69D4-674A-4532-8C2D-F390A2FA9622}" type="pres">
      <dgm:prSet presAssocID="{C2EFE54E-DDBB-4937-AAAF-B8E47F74D697}" presName="hierChild5" presStyleCnt="0"/>
      <dgm:spPr/>
    </dgm:pt>
    <dgm:pt modelId="{B894DCF4-CFDB-4655-8C23-F6D06D7FB345}" type="pres">
      <dgm:prSet presAssocID="{2DEF8671-DD1F-49D2-9C9F-4553E51583D7}" presName="Name37" presStyleLbl="parChTrans1D4" presStyleIdx="4" presStyleCnt="15"/>
      <dgm:spPr/>
    </dgm:pt>
    <dgm:pt modelId="{BA7890AD-C28B-4184-A8D6-6EDBD113CB8A}" type="pres">
      <dgm:prSet presAssocID="{0B7A893D-34B0-412E-AAF0-3244FF37E62F}" presName="hierRoot2" presStyleCnt="0">
        <dgm:presLayoutVars>
          <dgm:hierBranch val="init"/>
        </dgm:presLayoutVars>
      </dgm:prSet>
      <dgm:spPr/>
    </dgm:pt>
    <dgm:pt modelId="{C7694567-091A-4EF9-A3C2-2AF6B9A0305A}" type="pres">
      <dgm:prSet presAssocID="{0B7A893D-34B0-412E-AAF0-3244FF37E62F}" presName="rootComposite" presStyleCnt="0"/>
      <dgm:spPr/>
    </dgm:pt>
    <dgm:pt modelId="{D7E2BE4B-D731-4C2D-BA0A-37C902784000}" type="pres">
      <dgm:prSet presAssocID="{0B7A893D-34B0-412E-AAF0-3244FF37E62F}" presName="rootText" presStyleLbl="node4" presStyleIdx="4" presStyleCnt="15">
        <dgm:presLayoutVars>
          <dgm:chPref val="3"/>
        </dgm:presLayoutVars>
      </dgm:prSet>
      <dgm:spPr/>
    </dgm:pt>
    <dgm:pt modelId="{9DEDF8A8-C04F-4AC1-8A19-9C5D980141EF}" type="pres">
      <dgm:prSet presAssocID="{0B7A893D-34B0-412E-AAF0-3244FF37E62F}" presName="rootConnector" presStyleLbl="node4" presStyleIdx="4" presStyleCnt="15"/>
      <dgm:spPr/>
    </dgm:pt>
    <dgm:pt modelId="{1DE648D8-AE03-4D1A-A2BC-9B57B681966C}" type="pres">
      <dgm:prSet presAssocID="{0B7A893D-34B0-412E-AAF0-3244FF37E62F}" presName="hierChild4" presStyleCnt="0"/>
      <dgm:spPr/>
    </dgm:pt>
    <dgm:pt modelId="{100DADC4-F030-4864-A9B4-A0917383493F}" type="pres">
      <dgm:prSet presAssocID="{0B7A893D-34B0-412E-AAF0-3244FF37E62F}" presName="hierChild5" presStyleCnt="0"/>
      <dgm:spPr/>
    </dgm:pt>
    <dgm:pt modelId="{8361F233-B12E-43F6-BC39-A98D94AE39A7}" type="pres">
      <dgm:prSet presAssocID="{DC6688E7-45CF-4D5C-9D56-6B7EDCF265A6}" presName="Name37" presStyleLbl="parChTrans1D4" presStyleIdx="5" presStyleCnt="15"/>
      <dgm:spPr/>
    </dgm:pt>
    <dgm:pt modelId="{DE9A41E4-3923-40A4-9CC8-1B1A5C09A77A}" type="pres">
      <dgm:prSet presAssocID="{EB3954B5-74F4-4D11-9DFF-EA78507987CB}" presName="hierRoot2" presStyleCnt="0">
        <dgm:presLayoutVars>
          <dgm:hierBranch val="init"/>
        </dgm:presLayoutVars>
      </dgm:prSet>
      <dgm:spPr/>
    </dgm:pt>
    <dgm:pt modelId="{B7719617-0E46-40B1-ADB6-32270E389581}" type="pres">
      <dgm:prSet presAssocID="{EB3954B5-74F4-4D11-9DFF-EA78507987CB}" presName="rootComposite" presStyleCnt="0"/>
      <dgm:spPr/>
    </dgm:pt>
    <dgm:pt modelId="{85AD923B-4E2C-411D-9E05-6D278E6E3C31}" type="pres">
      <dgm:prSet presAssocID="{EB3954B5-74F4-4D11-9DFF-EA78507987CB}" presName="rootText" presStyleLbl="node4" presStyleIdx="5" presStyleCnt="15">
        <dgm:presLayoutVars>
          <dgm:chPref val="3"/>
        </dgm:presLayoutVars>
      </dgm:prSet>
      <dgm:spPr/>
    </dgm:pt>
    <dgm:pt modelId="{C9DB3AA9-5EBE-4CDD-923A-16B2DED554F2}" type="pres">
      <dgm:prSet presAssocID="{EB3954B5-74F4-4D11-9DFF-EA78507987CB}" presName="rootConnector" presStyleLbl="node4" presStyleIdx="5" presStyleCnt="15"/>
      <dgm:spPr/>
    </dgm:pt>
    <dgm:pt modelId="{5B4607DF-B053-49BD-89A1-C23BB12F949D}" type="pres">
      <dgm:prSet presAssocID="{EB3954B5-74F4-4D11-9DFF-EA78507987CB}" presName="hierChild4" presStyleCnt="0"/>
      <dgm:spPr/>
    </dgm:pt>
    <dgm:pt modelId="{2D502DF0-43F9-4645-90C9-9E29C2A8A8BF}" type="pres">
      <dgm:prSet presAssocID="{EB3954B5-74F4-4D11-9DFF-EA78507987CB}" presName="hierChild5" presStyleCnt="0"/>
      <dgm:spPr/>
    </dgm:pt>
    <dgm:pt modelId="{A304A998-311C-42E3-BC67-14561F45BC79}" type="pres">
      <dgm:prSet presAssocID="{86AF350A-A785-4BDD-9C13-1E90196942B4}" presName="hierChild5" presStyleCnt="0"/>
      <dgm:spPr/>
    </dgm:pt>
    <dgm:pt modelId="{45AC5175-69A5-4135-B79C-12AD4A58E1A7}" type="pres">
      <dgm:prSet presAssocID="{97F38E1B-8B0A-4C1C-BB0E-8DC2824BBDEE}" presName="hierChild5" presStyleCnt="0"/>
      <dgm:spPr/>
    </dgm:pt>
    <dgm:pt modelId="{8F47595E-1F20-4F5E-BE70-5CDDFE438157}" type="pres">
      <dgm:prSet presAssocID="{809B22AA-EB2B-4C4F-82C3-E979FD4CF357}" presName="hierChild5" presStyleCnt="0"/>
      <dgm:spPr/>
    </dgm:pt>
    <dgm:pt modelId="{146AE877-ED15-459B-B13B-AF077FBB1040}" type="pres">
      <dgm:prSet presAssocID="{DE3A69AF-6A99-44DF-9639-EBEE5AEFB1D1}" presName="Name37" presStyleLbl="parChTrans1D2" presStyleIdx="2" presStyleCnt="8"/>
      <dgm:spPr/>
    </dgm:pt>
    <dgm:pt modelId="{D8BE7065-D2EC-4787-8FFC-B61F79EEC39D}" type="pres">
      <dgm:prSet presAssocID="{4D29C077-1695-455C-9DAA-E15887E6F57B}" presName="hierRoot2" presStyleCnt="0">
        <dgm:presLayoutVars>
          <dgm:hierBranch val="init"/>
        </dgm:presLayoutVars>
      </dgm:prSet>
      <dgm:spPr/>
    </dgm:pt>
    <dgm:pt modelId="{71363FA2-6923-417F-B55E-201974467DF6}" type="pres">
      <dgm:prSet presAssocID="{4D29C077-1695-455C-9DAA-E15887E6F57B}" presName="rootComposite" presStyleCnt="0"/>
      <dgm:spPr/>
    </dgm:pt>
    <dgm:pt modelId="{5368EF9E-E26F-497A-B704-8C2CE5D835FD}" type="pres">
      <dgm:prSet presAssocID="{4D29C077-1695-455C-9DAA-E15887E6F57B}" presName="rootText" presStyleLbl="node2" presStyleIdx="2" presStyleCnt="8" custLinFactNeighborY="-2145">
        <dgm:presLayoutVars>
          <dgm:chPref val="3"/>
        </dgm:presLayoutVars>
      </dgm:prSet>
      <dgm:spPr/>
    </dgm:pt>
    <dgm:pt modelId="{05AACB28-368C-4D12-A4D8-69764BDEC4D2}" type="pres">
      <dgm:prSet presAssocID="{4D29C077-1695-455C-9DAA-E15887E6F57B}" presName="rootConnector" presStyleLbl="node2" presStyleIdx="2" presStyleCnt="8"/>
      <dgm:spPr/>
    </dgm:pt>
    <dgm:pt modelId="{6EB25563-D21F-483B-A064-03B79922792B}" type="pres">
      <dgm:prSet presAssocID="{4D29C077-1695-455C-9DAA-E15887E6F57B}" presName="hierChild4" presStyleCnt="0"/>
      <dgm:spPr/>
    </dgm:pt>
    <dgm:pt modelId="{1BDCF5C3-4938-4F7B-B883-DFE0EA2513F2}" type="pres">
      <dgm:prSet presAssocID="{F488A61D-44A8-43AF-8D4D-9D3A28823A7B}" presName="Name37" presStyleLbl="parChTrans1D3" presStyleIdx="4" presStyleCnt="22"/>
      <dgm:spPr/>
    </dgm:pt>
    <dgm:pt modelId="{D51C4435-04F6-4D3A-8AC9-28DE1618776D}" type="pres">
      <dgm:prSet presAssocID="{4EDFDD96-7D03-4644-B893-2DE9B7516A86}" presName="hierRoot2" presStyleCnt="0">
        <dgm:presLayoutVars>
          <dgm:hierBranch val="init"/>
        </dgm:presLayoutVars>
      </dgm:prSet>
      <dgm:spPr/>
    </dgm:pt>
    <dgm:pt modelId="{C8C3FF62-3F59-4D84-9B88-D6D2C6D0965C}" type="pres">
      <dgm:prSet presAssocID="{4EDFDD96-7D03-4644-B893-2DE9B7516A86}" presName="rootComposite" presStyleCnt="0"/>
      <dgm:spPr/>
    </dgm:pt>
    <dgm:pt modelId="{3CB81659-FE3C-423B-9CBD-B42FC5FE3EA0}" type="pres">
      <dgm:prSet presAssocID="{4EDFDD96-7D03-4644-B893-2DE9B7516A86}" presName="rootText" presStyleLbl="node3" presStyleIdx="4" presStyleCnt="22">
        <dgm:presLayoutVars>
          <dgm:chPref val="3"/>
        </dgm:presLayoutVars>
      </dgm:prSet>
      <dgm:spPr/>
    </dgm:pt>
    <dgm:pt modelId="{77CF87DA-CCF2-4C68-A6A1-315D38F06E97}" type="pres">
      <dgm:prSet presAssocID="{4EDFDD96-7D03-4644-B893-2DE9B7516A86}" presName="rootConnector" presStyleLbl="node3" presStyleIdx="4" presStyleCnt="22"/>
      <dgm:spPr/>
    </dgm:pt>
    <dgm:pt modelId="{9A131EBF-4F2C-4F30-929D-6EE9E0F9BCAA}" type="pres">
      <dgm:prSet presAssocID="{4EDFDD96-7D03-4644-B893-2DE9B7516A86}" presName="hierChild4" presStyleCnt="0"/>
      <dgm:spPr/>
    </dgm:pt>
    <dgm:pt modelId="{551EDF52-9700-4415-9C5E-2D5BBD97710A}" type="pres">
      <dgm:prSet presAssocID="{B3501234-EF80-4869-A279-C89BC86861D2}" presName="Name37" presStyleLbl="parChTrans1D4" presStyleIdx="6" presStyleCnt="15"/>
      <dgm:spPr/>
    </dgm:pt>
    <dgm:pt modelId="{DD393105-A334-4EB7-8239-C3EC22ABC35C}" type="pres">
      <dgm:prSet presAssocID="{E2EC6A85-58E6-4744-B75D-3324C60D8EE8}" presName="hierRoot2" presStyleCnt="0">
        <dgm:presLayoutVars>
          <dgm:hierBranch val="init"/>
        </dgm:presLayoutVars>
      </dgm:prSet>
      <dgm:spPr/>
    </dgm:pt>
    <dgm:pt modelId="{34E0B7B8-A9FE-4637-BA33-0D34A4985CFE}" type="pres">
      <dgm:prSet presAssocID="{E2EC6A85-58E6-4744-B75D-3324C60D8EE8}" presName="rootComposite" presStyleCnt="0"/>
      <dgm:spPr/>
    </dgm:pt>
    <dgm:pt modelId="{07D3882F-C235-4ADF-85FA-E879C777A8BD}" type="pres">
      <dgm:prSet presAssocID="{E2EC6A85-58E6-4744-B75D-3324C60D8EE8}" presName="rootText" presStyleLbl="node4" presStyleIdx="6" presStyleCnt="15">
        <dgm:presLayoutVars>
          <dgm:chPref val="3"/>
        </dgm:presLayoutVars>
      </dgm:prSet>
      <dgm:spPr/>
    </dgm:pt>
    <dgm:pt modelId="{4AFAFC3D-D935-4174-82BF-8097E9CC3978}" type="pres">
      <dgm:prSet presAssocID="{E2EC6A85-58E6-4744-B75D-3324C60D8EE8}" presName="rootConnector" presStyleLbl="node4" presStyleIdx="6" presStyleCnt="15"/>
      <dgm:spPr/>
    </dgm:pt>
    <dgm:pt modelId="{32762620-2305-4932-8569-3643D2BD0F19}" type="pres">
      <dgm:prSet presAssocID="{E2EC6A85-58E6-4744-B75D-3324C60D8EE8}" presName="hierChild4" presStyleCnt="0"/>
      <dgm:spPr/>
    </dgm:pt>
    <dgm:pt modelId="{8BC1F9E8-51D5-4381-8499-A60AB874E0FD}" type="pres">
      <dgm:prSet presAssocID="{E2EC6A85-58E6-4744-B75D-3324C60D8EE8}" presName="hierChild5" presStyleCnt="0"/>
      <dgm:spPr/>
    </dgm:pt>
    <dgm:pt modelId="{FB2DB3A0-B135-43F4-88C1-E9985DD92C2D}" type="pres">
      <dgm:prSet presAssocID="{622DEC80-7D3B-489F-A688-386A3BD66E46}" presName="Name37" presStyleLbl="parChTrans1D4" presStyleIdx="7" presStyleCnt="15"/>
      <dgm:spPr/>
    </dgm:pt>
    <dgm:pt modelId="{B2D79C74-D841-47CF-928E-3D8F67BB6CF4}" type="pres">
      <dgm:prSet presAssocID="{69233474-9CCA-431F-ADB6-8A9AC33B9697}" presName="hierRoot2" presStyleCnt="0">
        <dgm:presLayoutVars>
          <dgm:hierBranch val="init"/>
        </dgm:presLayoutVars>
      </dgm:prSet>
      <dgm:spPr/>
    </dgm:pt>
    <dgm:pt modelId="{D530D8F6-4633-4E2B-9D7F-07FE13465AD0}" type="pres">
      <dgm:prSet presAssocID="{69233474-9CCA-431F-ADB6-8A9AC33B9697}" presName="rootComposite" presStyleCnt="0"/>
      <dgm:spPr/>
    </dgm:pt>
    <dgm:pt modelId="{D7DDDDF0-F44F-4B11-B08B-89295DEA0D9B}" type="pres">
      <dgm:prSet presAssocID="{69233474-9CCA-431F-ADB6-8A9AC33B9697}" presName="rootText" presStyleLbl="node4" presStyleIdx="7" presStyleCnt="15">
        <dgm:presLayoutVars>
          <dgm:chPref val="3"/>
        </dgm:presLayoutVars>
      </dgm:prSet>
      <dgm:spPr/>
    </dgm:pt>
    <dgm:pt modelId="{3957C82B-EF44-4844-A580-BC3F07AD1AAA}" type="pres">
      <dgm:prSet presAssocID="{69233474-9CCA-431F-ADB6-8A9AC33B9697}" presName="rootConnector" presStyleLbl="node4" presStyleIdx="7" presStyleCnt="15"/>
      <dgm:spPr/>
    </dgm:pt>
    <dgm:pt modelId="{0754D7EF-BC43-404C-B8A6-6E2B1C6A9AE2}" type="pres">
      <dgm:prSet presAssocID="{69233474-9CCA-431F-ADB6-8A9AC33B9697}" presName="hierChild4" presStyleCnt="0"/>
      <dgm:spPr/>
    </dgm:pt>
    <dgm:pt modelId="{72B790DC-CD82-4BA6-8E1B-4F531F1D61F0}" type="pres">
      <dgm:prSet presAssocID="{69233474-9CCA-431F-ADB6-8A9AC33B9697}" presName="hierChild5" presStyleCnt="0"/>
      <dgm:spPr/>
    </dgm:pt>
    <dgm:pt modelId="{A5AD6A0B-6137-45FE-AEC3-274EDB22E7BE}" type="pres">
      <dgm:prSet presAssocID="{4EDFDD96-7D03-4644-B893-2DE9B7516A86}" presName="hierChild5" presStyleCnt="0"/>
      <dgm:spPr/>
    </dgm:pt>
    <dgm:pt modelId="{4E82E1CF-9093-4966-8BDC-BA30B6523B53}" type="pres">
      <dgm:prSet presAssocID="{16CD9583-BD21-4156-92D6-71CDB340D1AD}" presName="Name37" presStyleLbl="parChTrans1D3" presStyleIdx="5" presStyleCnt="22"/>
      <dgm:spPr/>
    </dgm:pt>
    <dgm:pt modelId="{6D4684D6-3049-41BE-9C43-0701009F3CD0}" type="pres">
      <dgm:prSet presAssocID="{141B889D-94F1-45C1-B73E-13B1197CCCF8}" presName="hierRoot2" presStyleCnt="0">
        <dgm:presLayoutVars>
          <dgm:hierBranch val="init"/>
        </dgm:presLayoutVars>
      </dgm:prSet>
      <dgm:spPr/>
    </dgm:pt>
    <dgm:pt modelId="{D575E6F6-8868-49B4-8B9A-094F6C77B41D}" type="pres">
      <dgm:prSet presAssocID="{141B889D-94F1-45C1-B73E-13B1197CCCF8}" presName="rootComposite" presStyleCnt="0"/>
      <dgm:spPr/>
    </dgm:pt>
    <dgm:pt modelId="{12FDCBF9-3BED-482D-906E-5A09DB8EAF1F}" type="pres">
      <dgm:prSet presAssocID="{141B889D-94F1-45C1-B73E-13B1197CCCF8}" presName="rootText" presStyleLbl="node3" presStyleIdx="5" presStyleCnt="22">
        <dgm:presLayoutVars>
          <dgm:chPref val="3"/>
        </dgm:presLayoutVars>
      </dgm:prSet>
      <dgm:spPr/>
    </dgm:pt>
    <dgm:pt modelId="{FC89D3C7-0538-47F7-AF35-0B577D30F034}" type="pres">
      <dgm:prSet presAssocID="{141B889D-94F1-45C1-B73E-13B1197CCCF8}" presName="rootConnector" presStyleLbl="node3" presStyleIdx="5" presStyleCnt="22"/>
      <dgm:spPr/>
    </dgm:pt>
    <dgm:pt modelId="{40C287F3-39F2-4A58-9655-CD0EF0D06F7B}" type="pres">
      <dgm:prSet presAssocID="{141B889D-94F1-45C1-B73E-13B1197CCCF8}" presName="hierChild4" presStyleCnt="0"/>
      <dgm:spPr/>
    </dgm:pt>
    <dgm:pt modelId="{169005B3-517D-446B-8623-5C28558CA7A7}" type="pres">
      <dgm:prSet presAssocID="{3D8434B0-DEC5-4689-B419-C2351767EFE8}" presName="Name37" presStyleLbl="parChTrans1D4" presStyleIdx="8" presStyleCnt="15"/>
      <dgm:spPr/>
    </dgm:pt>
    <dgm:pt modelId="{FA2189D4-0609-4BBD-B1A4-F50349B76580}" type="pres">
      <dgm:prSet presAssocID="{0AE7F9E1-765F-489C-8C16-C7BC49A797D9}" presName="hierRoot2" presStyleCnt="0">
        <dgm:presLayoutVars>
          <dgm:hierBranch val="init"/>
        </dgm:presLayoutVars>
      </dgm:prSet>
      <dgm:spPr/>
    </dgm:pt>
    <dgm:pt modelId="{95C8BA52-0A25-4B1B-9C1C-6FAD6F87853F}" type="pres">
      <dgm:prSet presAssocID="{0AE7F9E1-765F-489C-8C16-C7BC49A797D9}" presName="rootComposite" presStyleCnt="0"/>
      <dgm:spPr/>
    </dgm:pt>
    <dgm:pt modelId="{1E535ECD-9FA0-4E48-A66D-29FFB2AB3B70}" type="pres">
      <dgm:prSet presAssocID="{0AE7F9E1-765F-489C-8C16-C7BC49A797D9}" presName="rootText" presStyleLbl="node4" presStyleIdx="8" presStyleCnt="15">
        <dgm:presLayoutVars>
          <dgm:chPref val="3"/>
        </dgm:presLayoutVars>
      </dgm:prSet>
      <dgm:spPr/>
    </dgm:pt>
    <dgm:pt modelId="{A2F7DB0A-CD49-4EDD-B25D-FF7E00E87D85}" type="pres">
      <dgm:prSet presAssocID="{0AE7F9E1-765F-489C-8C16-C7BC49A797D9}" presName="rootConnector" presStyleLbl="node4" presStyleIdx="8" presStyleCnt="15"/>
      <dgm:spPr/>
    </dgm:pt>
    <dgm:pt modelId="{55C12E5E-D71A-41AF-B0EE-8DEB10EABF6C}" type="pres">
      <dgm:prSet presAssocID="{0AE7F9E1-765F-489C-8C16-C7BC49A797D9}" presName="hierChild4" presStyleCnt="0"/>
      <dgm:spPr/>
    </dgm:pt>
    <dgm:pt modelId="{E2A7F598-2A90-4FBC-9CCC-46032457887C}" type="pres">
      <dgm:prSet presAssocID="{0AE7F9E1-765F-489C-8C16-C7BC49A797D9}" presName="hierChild5" presStyleCnt="0"/>
      <dgm:spPr/>
    </dgm:pt>
    <dgm:pt modelId="{B1F44040-471C-47E1-AA4C-3975425FBF91}" type="pres">
      <dgm:prSet presAssocID="{88490267-DE7E-43ED-9BD4-B69E754A61AF}" presName="Name37" presStyleLbl="parChTrans1D4" presStyleIdx="9" presStyleCnt="15"/>
      <dgm:spPr/>
    </dgm:pt>
    <dgm:pt modelId="{C2D84DC7-5EF4-4BC8-9576-DED11C3A7DFD}" type="pres">
      <dgm:prSet presAssocID="{1FA32465-79CA-43E4-925C-FD9E6E9DB5C8}" presName="hierRoot2" presStyleCnt="0">
        <dgm:presLayoutVars>
          <dgm:hierBranch val="init"/>
        </dgm:presLayoutVars>
      </dgm:prSet>
      <dgm:spPr/>
    </dgm:pt>
    <dgm:pt modelId="{A5EFAD50-F422-4DD0-B7DB-428FBE8FC6A2}" type="pres">
      <dgm:prSet presAssocID="{1FA32465-79CA-43E4-925C-FD9E6E9DB5C8}" presName="rootComposite" presStyleCnt="0"/>
      <dgm:spPr/>
    </dgm:pt>
    <dgm:pt modelId="{0A7F2A46-750F-45A2-923B-D1292802EFDC}" type="pres">
      <dgm:prSet presAssocID="{1FA32465-79CA-43E4-925C-FD9E6E9DB5C8}" presName="rootText" presStyleLbl="node4" presStyleIdx="9" presStyleCnt="15">
        <dgm:presLayoutVars>
          <dgm:chPref val="3"/>
        </dgm:presLayoutVars>
      </dgm:prSet>
      <dgm:spPr/>
    </dgm:pt>
    <dgm:pt modelId="{5517D03E-AE9E-4827-A3FB-E1CF8BC3E098}" type="pres">
      <dgm:prSet presAssocID="{1FA32465-79CA-43E4-925C-FD9E6E9DB5C8}" presName="rootConnector" presStyleLbl="node4" presStyleIdx="9" presStyleCnt="15"/>
      <dgm:spPr/>
    </dgm:pt>
    <dgm:pt modelId="{C84665DD-42F1-4826-AAB6-D8630126BC8B}" type="pres">
      <dgm:prSet presAssocID="{1FA32465-79CA-43E4-925C-FD9E6E9DB5C8}" presName="hierChild4" presStyleCnt="0"/>
      <dgm:spPr/>
    </dgm:pt>
    <dgm:pt modelId="{D8899574-0656-4F1B-8027-B715745A0824}" type="pres">
      <dgm:prSet presAssocID="{1FA32465-79CA-43E4-925C-FD9E6E9DB5C8}" presName="hierChild5" presStyleCnt="0"/>
      <dgm:spPr/>
    </dgm:pt>
    <dgm:pt modelId="{4FF2B127-3DD1-49B2-A994-6E2D85102CCF}" type="pres">
      <dgm:prSet presAssocID="{141B889D-94F1-45C1-B73E-13B1197CCCF8}" presName="hierChild5" presStyleCnt="0"/>
      <dgm:spPr/>
    </dgm:pt>
    <dgm:pt modelId="{BC2296E3-678E-497E-9639-ED3DB6D9EADC}" type="pres">
      <dgm:prSet presAssocID="{4D29C077-1695-455C-9DAA-E15887E6F57B}" presName="hierChild5" presStyleCnt="0"/>
      <dgm:spPr/>
    </dgm:pt>
    <dgm:pt modelId="{86920179-6629-4A58-BB26-F9023C6AB676}" type="pres">
      <dgm:prSet presAssocID="{C025D0B3-3453-4AB2-8C0D-9A93251A872D}" presName="Name37" presStyleLbl="parChTrans1D2" presStyleIdx="3" presStyleCnt="8"/>
      <dgm:spPr/>
    </dgm:pt>
    <dgm:pt modelId="{385AF64B-4878-49AF-BB34-3F012067394B}" type="pres">
      <dgm:prSet presAssocID="{0E0D5914-9733-4438-B53B-E54AED87BD25}" presName="hierRoot2" presStyleCnt="0">
        <dgm:presLayoutVars>
          <dgm:hierBranch val="init"/>
        </dgm:presLayoutVars>
      </dgm:prSet>
      <dgm:spPr/>
    </dgm:pt>
    <dgm:pt modelId="{068FD7B9-8011-48D2-A182-EBFC5AA118E2}" type="pres">
      <dgm:prSet presAssocID="{0E0D5914-9733-4438-B53B-E54AED87BD25}" presName="rootComposite" presStyleCnt="0"/>
      <dgm:spPr/>
    </dgm:pt>
    <dgm:pt modelId="{34D49AA9-33AD-4664-ADD5-58DB46EB9889}" type="pres">
      <dgm:prSet presAssocID="{0E0D5914-9733-4438-B53B-E54AED87BD25}" presName="rootText" presStyleLbl="node2" presStyleIdx="3" presStyleCnt="8" custScaleX="123866" custLinFactNeighborY="-2145">
        <dgm:presLayoutVars>
          <dgm:chPref val="3"/>
        </dgm:presLayoutVars>
      </dgm:prSet>
      <dgm:spPr/>
    </dgm:pt>
    <dgm:pt modelId="{FA21B6A8-6AD6-40C5-B832-097165E0AE14}" type="pres">
      <dgm:prSet presAssocID="{0E0D5914-9733-4438-B53B-E54AED87BD25}" presName="rootConnector" presStyleLbl="node2" presStyleIdx="3" presStyleCnt="8"/>
      <dgm:spPr/>
    </dgm:pt>
    <dgm:pt modelId="{7A9C32C9-16BF-4D3E-BDD1-44D79FD1AB24}" type="pres">
      <dgm:prSet presAssocID="{0E0D5914-9733-4438-B53B-E54AED87BD25}" presName="hierChild4" presStyleCnt="0"/>
      <dgm:spPr/>
    </dgm:pt>
    <dgm:pt modelId="{6AC18233-7434-428C-A2CE-9E3AFE243EA4}" type="pres">
      <dgm:prSet presAssocID="{8069AF01-BDAC-4439-9E0A-EA0793CC3F91}" presName="Name37" presStyleLbl="parChTrans1D3" presStyleIdx="6" presStyleCnt="22"/>
      <dgm:spPr/>
    </dgm:pt>
    <dgm:pt modelId="{EB24A0CA-CF3C-48F9-925F-67D055FC3E19}" type="pres">
      <dgm:prSet presAssocID="{D9DCBD92-CF2D-4FA3-9650-A94983E94475}" presName="hierRoot2" presStyleCnt="0">
        <dgm:presLayoutVars>
          <dgm:hierBranch val="init"/>
        </dgm:presLayoutVars>
      </dgm:prSet>
      <dgm:spPr/>
    </dgm:pt>
    <dgm:pt modelId="{4D6B7E68-7345-431E-88BB-893362ADA909}" type="pres">
      <dgm:prSet presAssocID="{D9DCBD92-CF2D-4FA3-9650-A94983E94475}" presName="rootComposite" presStyleCnt="0"/>
      <dgm:spPr/>
    </dgm:pt>
    <dgm:pt modelId="{DA2E93DC-BB1D-4564-889B-BA004AC786E0}" type="pres">
      <dgm:prSet presAssocID="{D9DCBD92-CF2D-4FA3-9650-A94983E94475}" presName="rootText" presStyleLbl="node3" presStyleIdx="6" presStyleCnt="22">
        <dgm:presLayoutVars>
          <dgm:chPref val="3"/>
        </dgm:presLayoutVars>
      </dgm:prSet>
      <dgm:spPr/>
    </dgm:pt>
    <dgm:pt modelId="{99E07EF1-2718-49C0-B549-73DEE2F71416}" type="pres">
      <dgm:prSet presAssocID="{D9DCBD92-CF2D-4FA3-9650-A94983E94475}" presName="rootConnector" presStyleLbl="node3" presStyleIdx="6" presStyleCnt="22"/>
      <dgm:spPr/>
    </dgm:pt>
    <dgm:pt modelId="{7B0E1761-D15E-4320-AA6E-52EBF3F2E66D}" type="pres">
      <dgm:prSet presAssocID="{D9DCBD92-CF2D-4FA3-9650-A94983E94475}" presName="hierChild4" presStyleCnt="0"/>
      <dgm:spPr/>
    </dgm:pt>
    <dgm:pt modelId="{D7968CA6-A26B-43C5-9036-51384CB0A177}" type="pres">
      <dgm:prSet presAssocID="{F26A6E32-5FBB-4CEF-BDB1-A0E805534581}" presName="Name37" presStyleLbl="parChTrans1D4" presStyleIdx="10" presStyleCnt="15"/>
      <dgm:spPr/>
    </dgm:pt>
    <dgm:pt modelId="{5E1D58CE-2EAC-4297-BEA4-14F9FB70B9DC}" type="pres">
      <dgm:prSet presAssocID="{DBA8929B-46BA-404E-A3FA-7CF913B88C72}" presName="hierRoot2" presStyleCnt="0">
        <dgm:presLayoutVars>
          <dgm:hierBranch val="init"/>
        </dgm:presLayoutVars>
      </dgm:prSet>
      <dgm:spPr/>
    </dgm:pt>
    <dgm:pt modelId="{F8FCB22D-B5A4-4DFA-B1D0-C9BC424E0291}" type="pres">
      <dgm:prSet presAssocID="{DBA8929B-46BA-404E-A3FA-7CF913B88C72}" presName="rootComposite" presStyleCnt="0"/>
      <dgm:spPr/>
    </dgm:pt>
    <dgm:pt modelId="{47D7B08E-C006-4337-AFA5-B2B6AB5330E7}" type="pres">
      <dgm:prSet presAssocID="{DBA8929B-46BA-404E-A3FA-7CF913B88C72}" presName="rootText" presStyleLbl="node4" presStyleIdx="10" presStyleCnt="15">
        <dgm:presLayoutVars>
          <dgm:chPref val="3"/>
        </dgm:presLayoutVars>
      </dgm:prSet>
      <dgm:spPr/>
    </dgm:pt>
    <dgm:pt modelId="{30BF917B-30C7-4244-BCF5-B6609692DE4D}" type="pres">
      <dgm:prSet presAssocID="{DBA8929B-46BA-404E-A3FA-7CF913B88C72}" presName="rootConnector" presStyleLbl="node4" presStyleIdx="10" presStyleCnt="15"/>
      <dgm:spPr/>
    </dgm:pt>
    <dgm:pt modelId="{CA706695-D83D-4307-9D43-2078468493DA}" type="pres">
      <dgm:prSet presAssocID="{DBA8929B-46BA-404E-A3FA-7CF913B88C72}" presName="hierChild4" presStyleCnt="0"/>
      <dgm:spPr/>
    </dgm:pt>
    <dgm:pt modelId="{B34B29DD-FFDA-4380-8BFE-760AF2CEBD42}" type="pres">
      <dgm:prSet presAssocID="{DBA8929B-46BA-404E-A3FA-7CF913B88C72}" presName="hierChild5" presStyleCnt="0"/>
      <dgm:spPr/>
    </dgm:pt>
    <dgm:pt modelId="{0E0991F3-3934-47BB-929B-D5CDA7641990}" type="pres">
      <dgm:prSet presAssocID="{304499FC-178F-457B-9D5B-07C633CC1703}" presName="Name37" presStyleLbl="parChTrans1D4" presStyleIdx="11" presStyleCnt="15"/>
      <dgm:spPr/>
    </dgm:pt>
    <dgm:pt modelId="{329A036F-A499-429D-A48A-A92561947667}" type="pres">
      <dgm:prSet presAssocID="{C2E9E08C-C520-4750-9A46-099873830BC9}" presName="hierRoot2" presStyleCnt="0">
        <dgm:presLayoutVars>
          <dgm:hierBranch val="init"/>
        </dgm:presLayoutVars>
      </dgm:prSet>
      <dgm:spPr/>
    </dgm:pt>
    <dgm:pt modelId="{AE82D68E-D9B7-46FF-85E9-8B70C6683B55}" type="pres">
      <dgm:prSet presAssocID="{C2E9E08C-C520-4750-9A46-099873830BC9}" presName="rootComposite" presStyleCnt="0"/>
      <dgm:spPr/>
    </dgm:pt>
    <dgm:pt modelId="{43E1BAD0-C612-479E-A76D-9ADDAE663A0D}" type="pres">
      <dgm:prSet presAssocID="{C2E9E08C-C520-4750-9A46-099873830BC9}" presName="rootText" presStyleLbl="node4" presStyleIdx="11" presStyleCnt="15">
        <dgm:presLayoutVars>
          <dgm:chPref val="3"/>
        </dgm:presLayoutVars>
      </dgm:prSet>
      <dgm:spPr/>
    </dgm:pt>
    <dgm:pt modelId="{C3AE13EC-AD65-415B-91FB-22FE48785A3E}" type="pres">
      <dgm:prSet presAssocID="{C2E9E08C-C520-4750-9A46-099873830BC9}" presName="rootConnector" presStyleLbl="node4" presStyleIdx="11" presStyleCnt="15"/>
      <dgm:spPr/>
    </dgm:pt>
    <dgm:pt modelId="{2C38C1EE-8865-4C5D-A418-8541DB06CDA8}" type="pres">
      <dgm:prSet presAssocID="{C2E9E08C-C520-4750-9A46-099873830BC9}" presName="hierChild4" presStyleCnt="0"/>
      <dgm:spPr/>
    </dgm:pt>
    <dgm:pt modelId="{8FB92146-00F4-4711-B047-DF4AF7DA2428}" type="pres">
      <dgm:prSet presAssocID="{C2E9E08C-C520-4750-9A46-099873830BC9}" presName="hierChild5" presStyleCnt="0"/>
      <dgm:spPr/>
    </dgm:pt>
    <dgm:pt modelId="{61A6C384-661D-4488-AD5D-768B4A947FBD}" type="pres">
      <dgm:prSet presAssocID="{D9DCBD92-CF2D-4FA3-9650-A94983E94475}" presName="hierChild5" presStyleCnt="0"/>
      <dgm:spPr/>
    </dgm:pt>
    <dgm:pt modelId="{3A9512E9-E1C5-4380-BA7C-8E54B5E137DF}" type="pres">
      <dgm:prSet presAssocID="{1182CA2F-4565-428E-AE54-DA4AC822DEC1}" presName="Name37" presStyleLbl="parChTrans1D3" presStyleIdx="7" presStyleCnt="22"/>
      <dgm:spPr/>
    </dgm:pt>
    <dgm:pt modelId="{075A8305-3775-48CC-A7D3-4320ADDF26A5}" type="pres">
      <dgm:prSet presAssocID="{D5E38E4B-FED5-4A0A-B8AA-8728BED387A3}" presName="hierRoot2" presStyleCnt="0">
        <dgm:presLayoutVars>
          <dgm:hierBranch val="init"/>
        </dgm:presLayoutVars>
      </dgm:prSet>
      <dgm:spPr/>
    </dgm:pt>
    <dgm:pt modelId="{914A0770-4145-43FC-8249-A757D3507335}" type="pres">
      <dgm:prSet presAssocID="{D5E38E4B-FED5-4A0A-B8AA-8728BED387A3}" presName="rootComposite" presStyleCnt="0"/>
      <dgm:spPr/>
    </dgm:pt>
    <dgm:pt modelId="{4CB3CC10-420D-4678-B4A5-F650FAA65CFC}" type="pres">
      <dgm:prSet presAssocID="{D5E38E4B-FED5-4A0A-B8AA-8728BED387A3}" presName="rootText" presStyleLbl="node3" presStyleIdx="7" presStyleCnt="22">
        <dgm:presLayoutVars>
          <dgm:chPref val="3"/>
        </dgm:presLayoutVars>
      </dgm:prSet>
      <dgm:spPr/>
    </dgm:pt>
    <dgm:pt modelId="{E962E456-3173-4AC8-9388-5565756FFDF6}" type="pres">
      <dgm:prSet presAssocID="{D5E38E4B-FED5-4A0A-B8AA-8728BED387A3}" presName="rootConnector" presStyleLbl="node3" presStyleIdx="7" presStyleCnt="22"/>
      <dgm:spPr/>
    </dgm:pt>
    <dgm:pt modelId="{7E0C7BB9-5BB2-4E5A-B8D7-6F7CFC60ED3A}" type="pres">
      <dgm:prSet presAssocID="{D5E38E4B-FED5-4A0A-B8AA-8728BED387A3}" presName="hierChild4" presStyleCnt="0"/>
      <dgm:spPr/>
    </dgm:pt>
    <dgm:pt modelId="{DE31F5CA-37EC-464B-A0E1-9AB790904E0E}" type="pres">
      <dgm:prSet presAssocID="{6B85388F-71E1-413F-BC49-7FE13C99924D}" presName="Name37" presStyleLbl="parChTrans1D4" presStyleIdx="12" presStyleCnt="15"/>
      <dgm:spPr/>
    </dgm:pt>
    <dgm:pt modelId="{D467E7B8-8553-4750-9481-240B144A140A}" type="pres">
      <dgm:prSet presAssocID="{B71ED880-875D-465D-A2D5-7EFCE170B8F3}" presName="hierRoot2" presStyleCnt="0">
        <dgm:presLayoutVars>
          <dgm:hierBranch val="init"/>
        </dgm:presLayoutVars>
      </dgm:prSet>
      <dgm:spPr/>
    </dgm:pt>
    <dgm:pt modelId="{9020D338-B3A5-4F47-AA57-A04CF4F69450}" type="pres">
      <dgm:prSet presAssocID="{B71ED880-875D-465D-A2D5-7EFCE170B8F3}" presName="rootComposite" presStyleCnt="0"/>
      <dgm:spPr/>
    </dgm:pt>
    <dgm:pt modelId="{A197E7E5-E989-4B2D-830A-0E09071FB3E2}" type="pres">
      <dgm:prSet presAssocID="{B71ED880-875D-465D-A2D5-7EFCE170B8F3}" presName="rootText" presStyleLbl="node4" presStyleIdx="12" presStyleCnt="15">
        <dgm:presLayoutVars>
          <dgm:chPref val="3"/>
        </dgm:presLayoutVars>
      </dgm:prSet>
      <dgm:spPr/>
    </dgm:pt>
    <dgm:pt modelId="{1E232AB8-93DE-4845-B58C-D44BE96A7024}" type="pres">
      <dgm:prSet presAssocID="{B71ED880-875D-465D-A2D5-7EFCE170B8F3}" presName="rootConnector" presStyleLbl="node4" presStyleIdx="12" presStyleCnt="15"/>
      <dgm:spPr/>
    </dgm:pt>
    <dgm:pt modelId="{338CCFC0-5726-4721-B4E9-EF0DACB834A8}" type="pres">
      <dgm:prSet presAssocID="{B71ED880-875D-465D-A2D5-7EFCE170B8F3}" presName="hierChild4" presStyleCnt="0"/>
      <dgm:spPr/>
    </dgm:pt>
    <dgm:pt modelId="{62BFC6B3-6425-493A-83F9-96A151286232}" type="pres">
      <dgm:prSet presAssocID="{B71ED880-875D-465D-A2D5-7EFCE170B8F3}" presName="hierChild5" presStyleCnt="0"/>
      <dgm:spPr/>
    </dgm:pt>
    <dgm:pt modelId="{D18005E3-3D18-450E-9096-830C7B84DD3D}" type="pres">
      <dgm:prSet presAssocID="{B9C1F6B3-5F2B-4E62-8081-E4442A4A1FAD}" presName="Name37" presStyleLbl="parChTrans1D4" presStyleIdx="13" presStyleCnt="15"/>
      <dgm:spPr/>
    </dgm:pt>
    <dgm:pt modelId="{87410152-9607-4825-9A58-7924DC1B0288}" type="pres">
      <dgm:prSet presAssocID="{917743FF-440D-4528-AB60-B28331E85D6A}" presName="hierRoot2" presStyleCnt="0">
        <dgm:presLayoutVars>
          <dgm:hierBranch val="init"/>
        </dgm:presLayoutVars>
      </dgm:prSet>
      <dgm:spPr/>
    </dgm:pt>
    <dgm:pt modelId="{17E83584-B59E-4EC9-B0BE-9C4D21AD1BB3}" type="pres">
      <dgm:prSet presAssocID="{917743FF-440D-4528-AB60-B28331E85D6A}" presName="rootComposite" presStyleCnt="0"/>
      <dgm:spPr/>
    </dgm:pt>
    <dgm:pt modelId="{C5B5092F-8374-4C46-8567-B5ADA6FBAAC7}" type="pres">
      <dgm:prSet presAssocID="{917743FF-440D-4528-AB60-B28331E85D6A}" presName="rootText" presStyleLbl="node4" presStyleIdx="13" presStyleCnt="15">
        <dgm:presLayoutVars>
          <dgm:chPref val="3"/>
        </dgm:presLayoutVars>
      </dgm:prSet>
      <dgm:spPr/>
    </dgm:pt>
    <dgm:pt modelId="{8A9EBF63-A449-476C-B9EF-8D13ECA5F859}" type="pres">
      <dgm:prSet presAssocID="{917743FF-440D-4528-AB60-B28331E85D6A}" presName="rootConnector" presStyleLbl="node4" presStyleIdx="13" presStyleCnt="15"/>
      <dgm:spPr/>
    </dgm:pt>
    <dgm:pt modelId="{0F301543-7B6C-49B8-9BE5-D4D9828D27C3}" type="pres">
      <dgm:prSet presAssocID="{917743FF-440D-4528-AB60-B28331E85D6A}" presName="hierChild4" presStyleCnt="0"/>
      <dgm:spPr/>
    </dgm:pt>
    <dgm:pt modelId="{30EAA05C-2215-4B9E-8BA5-3604D8F14820}" type="pres">
      <dgm:prSet presAssocID="{917743FF-440D-4528-AB60-B28331E85D6A}" presName="hierChild5" presStyleCnt="0"/>
      <dgm:spPr/>
    </dgm:pt>
    <dgm:pt modelId="{9D75A9BA-2063-4BE0-906D-7CCF7C73C3FB}" type="pres">
      <dgm:prSet presAssocID="{06E0F6A0-52CD-4AD0-B032-3E8351A6904A}" presName="Name37" presStyleLbl="parChTrans1D4" presStyleIdx="14" presStyleCnt="15"/>
      <dgm:spPr/>
    </dgm:pt>
    <dgm:pt modelId="{7E7F8AEE-EFEB-4465-8792-3BCC4555583E}" type="pres">
      <dgm:prSet presAssocID="{430BF0AC-52B7-4EED-8F15-681320EC2F7B}" presName="hierRoot2" presStyleCnt="0">
        <dgm:presLayoutVars>
          <dgm:hierBranch val="init"/>
        </dgm:presLayoutVars>
      </dgm:prSet>
      <dgm:spPr/>
    </dgm:pt>
    <dgm:pt modelId="{FCF38706-1CEF-4581-8D8C-D3BBFD4E7D99}" type="pres">
      <dgm:prSet presAssocID="{430BF0AC-52B7-4EED-8F15-681320EC2F7B}" presName="rootComposite" presStyleCnt="0"/>
      <dgm:spPr/>
    </dgm:pt>
    <dgm:pt modelId="{DD041405-12E2-46AF-8185-E79A3B1300BA}" type="pres">
      <dgm:prSet presAssocID="{430BF0AC-52B7-4EED-8F15-681320EC2F7B}" presName="rootText" presStyleLbl="node4" presStyleIdx="14" presStyleCnt="15">
        <dgm:presLayoutVars>
          <dgm:chPref val="3"/>
        </dgm:presLayoutVars>
      </dgm:prSet>
      <dgm:spPr/>
    </dgm:pt>
    <dgm:pt modelId="{EA31C55C-7157-4761-9B09-DED18918CD12}" type="pres">
      <dgm:prSet presAssocID="{430BF0AC-52B7-4EED-8F15-681320EC2F7B}" presName="rootConnector" presStyleLbl="node4" presStyleIdx="14" presStyleCnt="15"/>
      <dgm:spPr/>
    </dgm:pt>
    <dgm:pt modelId="{E58D7CCD-26B2-4483-8948-7F32C1311019}" type="pres">
      <dgm:prSet presAssocID="{430BF0AC-52B7-4EED-8F15-681320EC2F7B}" presName="hierChild4" presStyleCnt="0"/>
      <dgm:spPr/>
    </dgm:pt>
    <dgm:pt modelId="{D95EEBED-AEDE-4CE5-8FB6-D3CEFE52B828}" type="pres">
      <dgm:prSet presAssocID="{430BF0AC-52B7-4EED-8F15-681320EC2F7B}" presName="hierChild5" presStyleCnt="0"/>
      <dgm:spPr/>
    </dgm:pt>
    <dgm:pt modelId="{8CDCB8B8-B9F5-4D9F-938A-73D933864FEF}" type="pres">
      <dgm:prSet presAssocID="{D5E38E4B-FED5-4A0A-B8AA-8728BED387A3}" presName="hierChild5" presStyleCnt="0"/>
      <dgm:spPr/>
    </dgm:pt>
    <dgm:pt modelId="{FA04B69D-268A-446E-98B0-E93679E0B0F9}" type="pres">
      <dgm:prSet presAssocID="{69F86B7A-C44C-44F2-8EB4-E2847C14540F}" presName="Name37" presStyleLbl="parChTrans1D3" presStyleIdx="8" presStyleCnt="22"/>
      <dgm:spPr/>
    </dgm:pt>
    <dgm:pt modelId="{8A28E437-7D19-4A4D-BAA3-E4C13A68EF18}" type="pres">
      <dgm:prSet presAssocID="{28D8B257-A9CA-4DEF-82EB-3BC9181A0F5A}" presName="hierRoot2" presStyleCnt="0">
        <dgm:presLayoutVars>
          <dgm:hierBranch val="init"/>
        </dgm:presLayoutVars>
      </dgm:prSet>
      <dgm:spPr/>
    </dgm:pt>
    <dgm:pt modelId="{CED7FB2C-78A1-452B-BFCB-1A5C4D00A5F6}" type="pres">
      <dgm:prSet presAssocID="{28D8B257-A9CA-4DEF-82EB-3BC9181A0F5A}" presName="rootComposite" presStyleCnt="0"/>
      <dgm:spPr/>
    </dgm:pt>
    <dgm:pt modelId="{FE319937-70A2-4E60-A528-D283398BE2D1}" type="pres">
      <dgm:prSet presAssocID="{28D8B257-A9CA-4DEF-82EB-3BC9181A0F5A}" presName="rootText" presStyleLbl="node3" presStyleIdx="8" presStyleCnt="22">
        <dgm:presLayoutVars>
          <dgm:chPref val="3"/>
        </dgm:presLayoutVars>
      </dgm:prSet>
      <dgm:spPr/>
    </dgm:pt>
    <dgm:pt modelId="{761243C1-22DA-44DB-B1AF-653199C71AC9}" type="pres">
      <dgm:prSet presAssocID="{28D8B257-A9CA-4DEF-82EB-3BC9181A0F5A}" presName="rootConnector" presStyleLbl="node3" presStyleIdx="8" presStyleCnt="22"/>
      <dgm:spPr/>
    </dgm:pt>
    <dgm:pt modelId="{AE1726BF-0105-4BC3-8593-723190E4AF92}" type="pres">
      <dgm:prSet presAssocID="{28D8B257-A9CA-4DEF-82EB-3BC9181A0F5A}" presName="hierChild4" presStyleCnt="0"/>
      <dgm:spPr/>
    </dgm:pt>
    <dgm:pt modelId="{4AD40319-4D6B-4FA0-A0B8-DC35EFEA7A15}" type="pres">
      <dgm:prSet presAssocID="{28D8B257-A9CA-4DEF-82EB-3BC9181A0F5A}" presName="hierChild5" presStyleCnt="0"/>
      <dgm:spPr/>
    </dgm:pt>
    <dgm:pt modelId="{03864CF9-7B53-4B08-8E2A-D1D6CFCD74A7}" type="pres">
      <dgm:prSet presAssocID="{0E0D5914-9733-4438-B53B-E54AED87BD25}" presName="hierChild5" presStyleCnt="0"/>
      <dgm:spPr/>
    </dgm:pt>
    <dgm:pt modelId="{58BDADBE-4402-4E6F-AB6F-E215C5F98D3B}" type="pres">
      <dgm:prSet presAssocID="{E9CCBF3B-F7D4-491B-83ED-166AFDD5DD30}" presName="Name37" presStyleLbl="parChTrans1D2" presStyleIdx="4" presStyleCnt="8"/>
      <dgm:spPr/>
    </dgm:pt>
    <dgm:pt modelId="{CAC55414-926B-4025-9709-C51A1C0F1BA3}" type="pres">
      <dgm:prSet presAssocID="{025397C8-278A-4FB7-A986-A1B487EA1563}" presName="hierRoot2" presStyleCnt="0">
        <dgm:presLayoutVars>
          <dgm:hierBranch val="init"/>
        </dgm:presLayoutVars>
      </dgm:prSet>
      <dgm:spPr/>
    </dgm:pt>
    <dgm:pt modelId="{84CEA5E3-2733-4C8E-82C3-8E65E6AC6A4F}" type="pres">
      <dgm:prSet presAssocID="{025397C8-278A-4FB7-A986-A1B487EA1563}" presName="rootComposite" presStyleCnt="0"/>
      <dgm:spPr/>
    </dgm:pt>
    <dgm:pt modelId="{0BF99F41-2B36-4860-856E-9B912562371F}" type="pres">
      <dgm:prSet presAssocID="{025397C8-278A-4FB7-A986-A1B487EA1563}" presName="rootText" presStyleLbl="node2" presStyleIdx="4" presStyleCnt="8" custScaleX="111662" custLinFactNeighborX="2630" custLinFactNeighborY="-2479">
        <dgm:presLayoutVars>
          <dgm:chPref val="3"/>
        </dgm:presLayoutVars>
      </dgm:prSet>
      <dgm:spPr/>
    </dgm:pt>
    <dgm:pt modelId="{9BBA3CDE-9578-436B-BF71-4165D5256392}" type="pres">
      <dgm:prSet presAssocID="{025397C8-278A-4FB7-A986-A1B487EA1563}" presName="rootConnector" presStyleLbl="node2" presStyleIdx="4" presStyleCnt="8"/>
      <dgm:spPr/>
    </dgm:pt>
    <dgm:pt modelId="{30CBF445-3176-4871-AE74-8842DAE8EA77}" type="pres">
      <dgm:prSet presAssocID="{025397C8-278A-4FB7-A986-A1B487EA1563}" presName="hierChild4" presStyleCnt="0"/>
      <dgm:spPr/>
    </dgm:pt>
    <dgm:pt modelId="{47A21D83-0961-4F83-B6CA-9111DF4BFE52}" type="pres">
      <dgm:prSet presAssocID="{7B0E8674-AF5F-4D43-BDCB-E4D39514593E}" presName="Name37" presStyleLbl="parChTrans1D3" presStyleIdx="9" presStyleCnt="22"/>
      <dgm:spPr/>
    </dgm:pt>
    <dgm:pt modelId="{27C8648E-06C7-41E1-AB85-24ADACB06DA0}" type="pres">
      <dgm:prSet presAssocID="{602FD50F-130C-4E3A-A16E-AF79EACA12AD}" presName="hierRoot2" presStyleCnt="0">
        <dgm:presLayoutVars>
          <dgm:hierBranch val="init"/>
        </dgm:presLayoutVars>
      </dgm:prSet>
      <dgm:spPr/>
    </dgm:pt>
    <dgm:pt modelId="{7FF5428D-C306-457D-B0CD-DBEC8B50A11D}" type="pres">
      <dgm:prSet presAssocID="{602FD50F-130C-4E3A-A16E-AF79EACA12AD}" presName="rootComposite" presStyleCnt="0"/>
      <dgm:spPr/>
    </dgm:pt>
    <dgm:pt modelId="{D2B32FE8-B300-4E27-B7E2-297F3F999D4E}" type="pres">
      <dgm:prSet presAssocID="{602FD50F-130C-4E3A-A16E-AF79EACA12AD}" presName="rootText" presStyleLbl="node3" presStyleIdx="9" presStyleCnt="22" custLinFactNeighborX="5255" custLinFactNeighborY="-334">
        <dgm:presLayoutVars>
          <dgm:chPref val="3"/>
        </dgm:presLayoutVars>
      </dgm:prSet>
      <dgm:spPr/>
    </dgm:pt>
    <dgm:pt modelId="{9F318731-EE01-4314-B79B-B28E42749C00}" type="pres">
      <dgm:prSet presAssocID="{602FD50F-130C-4E3A-A16E-AF79EACA12AD}" presName="rootConnector" presStyleLbl="node3" presStyleIdx="9" presStyleCnt="22"/>
      <dgm:spPr/>
    </dgm:pt>
    <dgm:pt modelId="{81979E69-6B05-4EC7-AA2F-C9F76EBB2E89}" type="pres">
      <dgm:prSet presAssocID="{602FD50F-130C-4E3A-A16E-AF79EACA12AD}" presName="hierChild4" presStyleCnt="0"/>
      <dgm:spPr/>
    </dgm:pt>
    <dgm:pt modelId="{5C6B34E6-E6BA-4C7A-BDB3-963037826DD2}" type="pres">
      <dgm:prSet presAssocID="{602FD50F-130C-4E3A-A16E-AF79EACA12AD}" presName="hierChild5" presStyleCnt="0"/>
      <dgm:spPr/>
    </dgm:pt>
    <dgm:pt modelId="{807FA1CB-C069-4A68-9F5B-ACB3D4C2C7E0}" type="pres">
      <dgm:prSet presAssocID="{6EAA41E0-1525-42E3-A200-48C0FE921E72}" presName="Name37" presStyleLbl="parChTrans1D3" presStyleIdx="10" presStyleCnt="22"/>
      <dgm:spPr/>
    </dgm:pt>
    <dgm:pt modelId="{D5654D94-4063-4907-90AD-D557FD0FC7D8}" type="pres">
      <dgm:prSet presAssocID="{E5E9916D-2D7F-4C7A-A808-9D88F35BEC5A}" presName="hierRoot2" presStyleCnt="0">
        <dgm:presLayoutVars>
          <dgm:hierBranch val="init"/>
        </dgm:presLayoutVars>
      </dgm:prSet>
      <dgm:spPr/>
    </dgm:pt>
    <dgm:pt modelId="{3B29332E-B997-4913-82FD-7ADE58B37E18}" type="pres">
      <dgm:prSet presAssocID="{E5E9916D-2D7F-4C7A-A808-9D88F35BEC5A}" presName="rootComposite" presStyleCnt="0"/>
      <dgm:spPr/>
    </dgm:pt>
    <dgm:pt modelId="{0B77889B-AAC5-42E4-AC09-1DCA681BCE85}" type="pres">
      <dgm:prSet presAssocID="{E5E9916D-2D7F-4C7A-A808-9D88F35BEC5A}" presName="rootText" presStyleLbl="node3" presStyleIdx="10" presStyleCnt="22" custLinFactNeighborX="4629" custLinFactNeighborY="0">
        <dgm:presLayoutVars>
          <dgm:chPref val="3"/>
        </dgm:presLayoutVars>
      </dgm:prSet>
      <dgm:spPr/>
    </dgm:pt>
    <dgm:pt modelId="{45F7E176-19D1-4464-8B8E-5DA14B89B110}" type="pres">
      <dgm:prSet presAssocID="{E5E9916D-2D7F-4C7A-A808-9D88F35BEC5A}" presName="rootConnector" presStyleLbl="node3" presStyleIdx="10" presStyleCnt="22"/>
      <dgm:spPr/>
    </dgm:pt>
    <dgm:pt modelId="{B4601DB9-3547-46B7-BCB9-99185FEAFD54}" type="pres">
      <dgm:prSet presAssocID="{E5E9916D-2D7F-4C7A-A808-9D88F35BEC5A}" presName="hierChild4" presStyleCnt="0"/>
      <dgm:spPr/>
    </dgm:pt>
    <dgm:pt modelId="{A7A4D252-5741-44E4-B403-B75C460BBA4E}" type="pres">
      <dgm:prSet presAssocID="{E5E9916D-2D7F-4C7A-A808-9D88F35BEC5A}" presName="hierChild5" presStyleCnt="0"/>
      <dgm:spPr/>
    </dgm:pt>
    <dgm:pt modelId="{437A1297-BF94-4C16-89EC-F9C850AB66AC}" type="pres">
      <dgm:prSet presAssocID="{EB4D8335-8BE0-4973-AB60-04F8ECAC0E83}" presName="Name37" presStyleLbl="parChTrans1D3" presStyleIdx="11" presStyleCnt="22"/>
      <dgm:spPr/>
    </dgm:pt>
    <dgm:pt modelId="{1CF62F75-ACC6-41D9-9E49-D4137EAE5810}" type="pres">
      <dgm:prSet presAssocID="{12E89453-6DCE-4C8D-9238-8E58E38D47DF}" presName="hierRoot2" presStyleCnt="0">
        <dgm:presLayoutVars>
          <dgm:hierBranch val="init"/>
        </dgm:presLayoutVars>
      </dgm:prSet>
      <dgm:spPr/>
    </dgm:pt>
    <dgm:pt modelId="{2CC3EC5D-ABD7-44C2-8FEA-D2C50630AABB}" type="pres">
      <dgm:prSet presAssocID="{12E89453-6DCE-4C8D-9238-8E58E38D47DF}" presName="rootComposite" presStyleCnt="0"/>
      <dgm:spPr/>
    </dgm:pt>
    <dgm:pt modelId="{08E72879-DC68-4B71-817A-C7C0F3436399}" type="pres">
      <dgm:prSet presAssocID="{12E89453-6DCE-4C8D-9238-8E58E38D47DF}" presName="rootText" presStyleLbl="node3" presStyleIdx="11" presStyleCnt="22" custLinFactNeighborX="4629" custLinFactNeighborY="-3703">
        <dgm:presLayoutVars>
          <dgm:chPref val="3"/>
        </dgm:presLayoutVars>
      </dgm:prSet>
      <dgm:spPr/>
    </dgm:pt>
    <dgm:pt modelId="{CDAB659F-E50D-4498-911B-0C6547CF2432}" type="pres">
      <dgm:prSet presAssocID="{12E89453-6DCE-4C8D-9238-8E58E38D47DF}" presName="rootConnector" presStyleLbl="node3" presStyleIdx="11" presStyleCnt="22"/>
      <dgm:spPr/>
    </dgm:pt>
    <dgm:pt modelId="{CEF88D78-B21E-42D7-8A3B-FCF073D93A4C}" type="pres">
      <dgm:prSet presAssocID="{12E89453-6DCE-4C8D-9238-8E58E38D47DF}" presName="hierChild4" presStyleCnt="0"/>
      <dgm:spPr/>
    </dgm:pt>
    <dgm:pt modelId="{2D1CB82C-687F-4CE1-AA45-F2FAB7ED630D}" type="pres">
      <dgm:prSet presAssocID="{12E89453-6DCE-4C8D-9238-8E58E38D47DF}" presName="hierChild5" presStyleCnt="0"/>
      <dgm:spPr/>
    </dgm:pt>
    <dgm:pt modelId="{06364E07-E5A5-47C1-8783-78E7393DD3C8}" type="pres">
      <dgm:prSet presAssocID="{025397C8-278A-4FB7-A986-A1B487EA1563}" presName="hierChild5" presStyleCnt="0"/>
      <dgm:spPr/>
    </dgm:pt>
    <dgm:pt modelId="{1CAB3E94-5855-4109-A43C-7105AD6B26D0}" type="pres">
      <dgm:prSet presAssocID="{3F1B0426-4EA2-44D9-B786-B19B57D5CDEA}" presName="Name37" presStyleLbl="parChTrans1D2" presStyleIdx="5" presStyleCnt="8"/>
      <dgm:spPr/>
    </dgm:pt>
    <dgm:pt modelId="{F9117AA4-539E-4EE3-B164-8174B0B40EC0}" type="pres">
      <dgm:prSet presAssocID="{8BB75C25-BB24-48E5-95A1-BDDD2AD67385}" presName="hierRoot2" presStyleCnt="0">
        <dgm:presLayoutVars>
          <dgm:hierBranch val="init"/>
        </dgm:presLayoutVars>
      </dgm:prSet>
      <dgm:spPr/>
    </dgm:pt>
    <dgm:pt modelId="{EAF88972-4E53-4659-94BD-910A092B9148}" type="pres">
      <dgm:prSet presAssocID="{8BB75C25-BB24-48E5-95A1-BDDD2AD67385}" presName="rootComposite" presStyleCnt="0"/>
      <dgm:spPr/>
    </dgm:pt>
    <dgm:pt modelId="{3A2A1C1F-CABC-4C98-B728-F262323AA994}" type="pres">
      <dgm:prSet presAssocID="{8BB75C25-BB24-48E5-95A1-BDDD2AD67385}" presName="rootText" presStyleLbl="node2" presStyleIdx="5" presStyleCnt="8" custScaleX="108132" custLinFactNeighborX="6501" custLinFactNeighborY="-8368">
        <dgm:presLayoutVars>
          <dgm:chPref val="3"/>
        </dgm:presLayoutVars>
      </dgm:prSet>
      <dgm:spPr/>
    </dgm:pt>
    <dgm:pt modelId="{0393B6C4-B4FB-4B6B-8DB5-37B9B19AABA4}" type="pres">
      <dgm:prSet presAssocID="{8BB75C25-BB24-48E5-95A1-BDDD2AD67385}" presName="rootConnector" presStyleLbl="node2" presStyleIdx="5" presStyleCnt="8"/>
      <dgm:spPr/>
    </dgm:pt>
    <dgm:pt modelId="{977D3813-5412-42A7-8B4D-5447A06AC163}" type="pres">
      <dgm:prSet presAssocID="{8BB75C25-BB24-48E5-95A1-BDDD2AD67385}" presName="hierChild4" presStyleCnt="0"/>
      <dgm:spPr/>
    </dgm:pt>
    <dgm:pt modelId="{78FA309A-083A-4C64-9477-7A3C69B2784C}" type="pres">
      <dgm:prSet presAssocID="{50F4CB47-0DB9-4B1E-9C75-49682DAC2BF7}" presName="Name37" presStyleLbl="parChTrans1D3" presStyleIdx="12" presStyleCnt="22"/>
      <dgm:spPr/>
    </dgm:pt>
    <dgm:pt modelId="{FEB3D90E-42D2-4AC7-9CB5-35870C299752}" type="pres">
      <dgm:prSet presAssocID="{D6F5CD79-D3E1-4B19-9C25-479267A00537}" presName="hierRoot2" presStyleCnt="0">
        <dgm:presLayoutVars>
          <dgm:hierBranch val="init"/>
        </dgm:presLayoutVars>
      </dgm:prSet>
      <dgm:spPr/>
    </dgm:pt>
    <dgm:pt modelId="{05080593-A2ED-4379-91EC-55846B4CD50F}" type="pres">
      <dgm:prSet presAssocID="{D6F5CD79-D3E1-4B19-9C25-479267A00537}" presName="rootComposite" presStyleCnt="0"/>
      <dgm:spPr/>
    </dgm:pt>
    <dgm:pt modelId="{6BAFA004-7462-4BB3-8CF7-8F0FAE532698}" type="pres">
      <dgm:prSet presAssocID="{D6F5CD79-D3E1-4B19-9C25-479267A00537}" presName="rootText" presStyleLbl="node3" presStyleIdx="12" presStyleCnt="22" custLinFactNeighborX="5164" custLinFactNeighborY="-2034">
        <dgm:presLayoutVars>
          <dgm:chPref val="3"/>
        </dgm:presLayoutVars>
      </dgm:prSet>
      <dgm:spPr/>
    </dgm:pt>
    <dgm:pt modelId="{C0FC47CA-1988-459D-A473-7CA219823B7E}" type="pres">
      <dgm:prSet presAssocID="{D6F5CD79-D3E1-4B19-9C25-479267A00537}" presName="rootConnector" presStyleLbl="node3" presStyleIdx="12" presStyleCnt="22"/>
      <dgm:spPr/>
    </dgm:pt>
    <dgm:pt modelId="{7C2A8F67-B35D-46B9-8CDC-F1C514C733F2}" type="pres">
      <dgm:prSet presAssocID="{D6F5CD79-D3E1-4B19-9C25-479267A00537}" presName="hierChild4" presStyleCnt="0"/>
      <dgm:spPr/>
    </dgm:pt>
    <dgm:pt modelId="{0D223CD7-96A9-487A-A2F6-A9D48710FA30}" type="pres">
      <dgm:prSet presAssocID="{D6F5CD79-D3E1-4B19-9C25-479267A00537}" presName="hierChild5" presStyleCnt="0"/>
      <dgm:spPr/>
    </dgm:pt>
    <dgm:pt modelId="{679EAA6C-B7F9-45B1-B314-064B1497E450}" type="pres">
      <dgm:prSet presAssocID="{699FA3BB-5DDB-4810-8B78-2E6BCAFDC511}" presName="Name37" presStyleLbl="parChTrans1D3" presStyleIdx="13" presStyleCnt="22"/>
      <dgm:spPr/>
    </dgm:pt>
    <dgm:pt modelId="{A65D9E2F-0DF0-4606-978F-4875BE6D73B0}" type="pres">
      <dgm:prSet presAssocID="{9AC19E5E-60C4-4CCF-A20E-E4814BC2FE9B}" presName="hierRoot2" presStyleCnt="0">
        <dgm:presLayoutVars>
          <dgm:hierBranch val="init"/>
        </dgm:presLayoutVars>
      </dgm:prSet>
      <dgm:spPr/>
    </dgm:pt>
    <dgm:pt modelId="{6AF48B43-38E1-44C8-962D-77020524A35A}" type="pres">
      <dgm:prSet presAssocID="{9AC19E5E-60C4-4CCF-A20E-E4814BC2FE9B}" presName="rootComposite" presStyleCnt="0"/>
      <dgm:spPr/>
    </dgm:pt>
    <dgm:pt modelId="{8214640F-5D66-49B2-997F-5F320E255B10}" type="pres">
      <dgm:prSet presAssocID="{9AC19E5E-60C4-4CCF-A20E-E4814BC2FE9B}" presName="rootText" presStyleLbl="node3" presStyleIdx="13" presStyleCnt="22" custLinFactNeighborX="4572">
        <dgm:presLayoutVars>
          <dgm:chPref val="3"/>
        </dgm:presLayoutVars>
      </dgm:prSet>
      <dgm:spPr/>
    </dgm:pt>
    <dgm:pt modelId="{2B3E1A31-C7DC-446D-8815-E4813D3B56B4}" type="pres">
      <dgm:prSet presAssocID="{9AC19E5E-60C4-4CCF-A20E-E4814BC2FE9B}" presName="rootConnector" presStyleLbl="node3" presStyleIdx="13" presStyleCnt="22"/>
      <dgm:spPr/>
    </dgm:pt>
    <dgm:pt modelId="{360721A3-6E7E-4BAF-9E41-ACAEBFCAE7AE}" type="pres">
      <dgm:prSet presAssocID="{9AC19E5E-60C4-4CCF-A20E-E4814BC2FE9B}" presName="hierChild4" presStyleCnt="0"/>
      <dgm:spPr/>
    </dgm:pt>
    <dgm:pt modelId="{5DADC705-AA0C-45D6-969F-EB7762223FA5}" type="pres">
      <dgm:prSet presAssocID="{9AC19E5E-60C4-4CCF-A20E-E4814BC2FE9B}" presName="hierChild5" presStyleCnt="0"/>
      <dgm:spPr/>
    </dgm:pt>
    <dgm:pt modelId="{52777498-AA74-4FC2-849F-C626B27A45B4}" type="pres">
      <dgm:prSet presAssocID="{FDDB7EEE-AB02-47E4-B007-CB2A762CB7F9}" presName="Name37" presStyleLbl="parChTrans1D3" presStyleIdx="14" presStyleCnt="22"/>
      <dgm:spPr/>
    </dgm:pt>
    <dgm:pt modelId="{9ED8E56C-C0DA-4771-B928-9B8BF0AE6D47}" type="pres">
      <dgm:prSet presAssocID="{03DF699C-3176-485E-B584-5BC85EC703ED}" presName="hierRoot2" presStyleCnt="0">
        <dgm:presLayoutVars>
          <dgm:hierBranch val="init"/>
        </dgm:presLayoutVars>
      </dgm:prSet>
      <dgm:spPr/>
    </dgm:pt>
    <dgm:pt modelId="{866E3ED8-98DF-4099-A051-59DBAC27FD71}" type="pres">
      <dgm:prSet presAssocID="{03DF699C-3176-485E-B584-5BC85EC703ED}" presName="rootComposite" presStyleCnt="0"/>
      <dgm:spPr/>
    </dgm:pt>
    <dgm:pt modelId="{0CE7C8B4-F8E6-429D-8C4A-73E9D60DCB81}" type="pres">
      <dgm:prSet presAssocID="{03DF699C-3176-485E-B584-5BC85EC703ED}" presName="rootText" presStyleLbl="node3" presStyleIdx="14" presStyleCnt="22" custLinFactNeighborX="4147" custLinFactNeighborY="-2702">
        <dgm:presLayoutVars>
          <dgm:chPref val="3"/>
        </dgm:presLayoutVars>
      </dgm:prSet>
      <dgm:spPr/>
    </dgm:pt>
    <dgm:pt modelId="{7568918C-FAD7-4B9E-9AFD-52C33DE56813}" type="pres">
      <dgm:prSet presAssocID="{03DF699C-3176-485E-B584-5BC85EC703ED}" presName="rootConnector" presStyleLbl="node3" presStyleIdx="14" presStyleCnt="22"/>
      <dgm:spPr/>
    </dgm:pt>
    <dgm:pt modelId="{E194985F-1898-4344-BB7D-4D437304ED4A}" type="pres">
      <dgm:prSet presAssocID="{03DF699C-3176-485E-B584-5BC85EC703ED}" presName="hierChild4" presStyleCnt="0"/>
      <dgm:spPr/>
    </dgm:pt>
    <dgm:pt modelId="{39195D1C-2951-43BA-8692-AC232BEFBB80}" type="pres">
      <dgm:prSet presAssocID="{03DF699C-3176-485E-B584-5BC85EC703ED}" presName="hierChild5" presStyleCnt="0"/>
      <dgm:spPr/>
    </dgm:pt>
    <dgm:pt modelId="{C8F70C14-7D89-44D7-BB48-3CFE36D1427B}" type="pres">
      <dgm:prSet presAssocID="{8BB75C25-BB24-48E5-95A1-BDDD2AD67385}" presName="hierChild5" presStyleCnt="0"/>
      <dgm:spPr/>
    </dgm:pt>
    <dgm:pt modelId="{82E60BB5-7FD2-4219-AE7C-29971BDCB4BB}" type="pres">
      <dgm:prSet presAssocID="{EBA54DFC-7FC3-4D85-9BDE-4CD347E65E6C}" presName="Name37" presStyleLbl="parChTrans1D2" presStyleIdx="6" presStyleCnt="8"/>
      <dgm:spPr/>
    </dgm:pt>
    <dgm:pt modelId="{A7850FBB-26BD-4AD2-A515-BD8832D8474B}" type="pres">
      <dgm:prSet presAssocID="{424E63FB-7A5E-47ED-BA8E-381C8BEA7B4D}" presName="hierRoot2" presStyleCnt="0">
        <dgm:presLayoutVars>
          <dgm:hierBranch val="init"/>
        </dgm:presLayoutVars>
      </dgm:prSet>
      <dgm:spPr/>
    </dgm:pt>
    <dgm:pt modelId="{4B54CD39-71A9-47B6-B354-9E2E224A5749}" type="pres">
      <dgm:prSet presAssocID="{424E63FB-7A5E-47ED-BA8E-381C8BEA7B4D}" presName="rootComposite" presStyleCnt="0"/>
      <dgm:spPr/>
    </dgm:pt>
    <dgm:pt modelId="{9A681887-5350-4EBE-BD43-C7E4297AB1BB}" type="pres">
      <dgm:prSet presAssocID="{424E63FB-7A5E-47ED-BA8E-381C8BEA7B4D}" presName="rootText" presStyleLbl="node2" presStyleIdx="6" presStyleCnt="8" custLinFactNeighborX="5574" custLinFactNeighborY="-5848">
        <dgm:presLayoutVars>
          <dgm:chPref val="3"/>
        </dgm:presLayoutVars>
      </dgm:prSet>
      <dgm:spPr/>
    </dgm:pt>
    <dgm:pt modelId="{14354306-A96D-4F9B-B8CB-A1923889D20A}" type="pres">
      <dgm:prSet presAssocID="{424E63FB-7A5E-47ED-BA8E-381C8BEA7B4D}" presName="rootConnector" presStyleLbl="node2" presStyleIdx="6" presStyleCnt="8"/>
      <dgm:spPr/>
    </dgm:pt>
    <dgm:pt modelId="{60EE685C-BCD2-4AF8-9900-DC7BE1C8761E}" type="pres">
      <dgm:prSet presAssocID="{424E63FB-7A5E-47ED-BA8E-381C8BEA7B4D}" presName="hierChild4" presStyleCnt="0"/>
      <dgm:spPr/>
    </dgm:pt>
    <dgm:pt modelId="{6185FE85-F6F3-47C8-BC28-BFB1B081D47E}" type="pres">
      <dgm:prSet presAssocID="{2EA6147A-4097-4648-9D83-1C15EC3F6E1C}" presName="Name37" presStyleLbl="parChTrans1D3" presStyleIdx="15" presStyleCnt="22"/>
      <dgm:spPr/>
    </dgm:pt>
    <dgm:pt modelId="{8116A3A0-2E0B-4D77-B5A2-B6CBCF7ADB15}" type="pres">
      <dgm:prSet presAssocID="{92338313-9670-40FB-8040-D372407E9060}" presName="hierRoot2" presStyleCnt="0">
        <dgm:presLayoutVars>
          <dgm:hierBranch val="init"/>
        </dgm:presLayoutVars>
      </dgm:prSet>
      <dgm:spPr/>
    </dgm:pt>
    <dgm:pt modelId="{81199921-AF0E-4033-957C-9C1B01D1C91B}" type="pres">
      <dgm:prSet presAssocID="{92338313-9670-40FB-8040-D372407E9060}" presName="rootComposite" presStyleCnt="0"/>
      <dgm:spPr/>
    </dgm:pt>
    <dgm:pt modelId="{A4073290-40FA-4447-A63D-A2A271E69369}" type="pres">
      <dgm:prSet presAssocID="{92338313-9670-40FB-8040-D372407E9060}" presName="rootText" presStyleLbl="node3" presStyleIdx="15" presStyleCnt="22" custLinFactNeighborX="2889" custLinFactNeighborY="2186">
        <dgm:presLayoutVars>
          <dgm:chPref val="3"/>
        </dgm:presLayoutVars>
      </dgm:prSet>
      <dgm:spPr/>
    </dgm:pt>
    <dgm:pt modelId="{8DE7EDC3-030C-4699-90B7-316F8F127CEA}" type="pres">
      <dgm:prSet presAssocID="{92338313-9670-40FB-8040-D372407E9060}" presName="rootConnector" presStyleLbl="node3" presStyleIdx="15" presStyleCnt="22"/>
      <dgm:spPr/>
    </dgm:pt>
    <dgm:pt modelId="{8EE53B03-8214-420C-9321-FEE828B4616A}" type="pres">
      <dgm:prSet presAssocID="{92338313-9670-40FB-8040-D372407E9060}" presName="hierChild4" presStyleCnt="0"/>
      <dgm:spPr/>
    </dgm:pt>
    <dgm:pt modelId="{CAF7050B-39E0-4667-AEBF-9E47F60B4B83}" type="pres">
      <dgm:prSet presAssocID="{92338313-9670-40FB-8040-D372407E9060}" presName="hierChild5" presStyleCnt="0"/>
      <dgm:spPr/>
    </dgm:pt>
    <dgm:pt modelId="{BA5F9E80-3D5F-4248-9517-86F91EE0B8E9}" type="pres">
      <dgm:prSet presAssocID="{D39B8DD9-864C-4EB7-9F89-A2AD12438034}" presName="Name37" presStyleLbl="parChTrans1D3" presStyleIdx="16" presStyleCnt="22"/>
      <dgm:spPr/>
    </dgm:pt>
    <dgm:pt modelId="{352CBE99-8B60-4598-A01C-4B9A74376B3F}" type="pres">
      <dgm:prSet presAssocID="{8AB7F64B-E4EA-46A3-93C5-530B1FAAB3A0}" presName="hierRoot2" presStyleCnt="0">
        <dgm:presLayoutVars>
          <dgm:hierBranch val="init"/>
        </dgm:presLayoutVars>
      </dgm:prSet>
      <dgm:spPr/>
    </dgm:pt>
    <dgm:pt modelId="{DC9B8021-D8A5-43E4-AC56-C6AE77A81C33}" type="pres">
      <dgm:prSet presAssocID="{8AB7F64B-E4EA-46A3-93C5-530B1FAAB3A0}" presName="rootComposite" presStyleCnt="0"/>
      <dgm:spPr/>
    </dgm:pt>
    <dgm:pt modelId="{CC7BE9CC-9E44-4B05-9B0E-850124C3547A}" type="pres">
      <dgm:prSet presAssocID="{8AB7F64B-E4EA-46A3-93C5-530B1FAAB3A0}" presName="rootText" presStyleLbl="node3" presStyleIdx="16" presStyleCnt="22" custLinFactNeighborX="2720" custLinFactNeighborY="335">
        <dgm:presLayoutVars>
          <dgm:chPref val="3"/>
        </dgm:presLayoutVars>
      </dgm:prSet>
      <dgm:spPr/>
    </dgm:pt>
    <dgm:pt modelId="{521FEAC1-E658-4130-BFDF-12AE10471782}" type="pres">
      <dgm:prSet presAssocID="{8AB7F64B-E4EA-46A3-93C5-530B1FAAB3A0}" presName="rootConnector" presStyleLbl="node3" presStyleIdx="16" presStyleCnt="22"/>
      <dgm:spPr/>
    </dgm:pt>
    <dgm:pt modelId="{2E10A84D-28AC-4389-B262-EEC5AC14DF6E}" type="pres">
      <dgm:prSet presAssocID="{8AB7F64B-E4EA-46A3-93C5-530B1FAAB3A0}" presName="hierChild4" presStyleCnt="0"/>
      <dgm:spPr/>
    </dgm:pt>
    <dgm:pt modelId="{96841731-AA54-4777-9CA5-E03DBB960C6B}" type="pres">
      <dgm:prSet presAssocID="{8AB7F64B-E4EA-46A3-93C5-530B1FAAB3A0}" presName="hierChild5" presStyleCnt="0"/>
      <dgm:spPr/>
    </dgm:pt>
    <dgm:pt modelId="{86E8989D-6C94-463D-9588-B288E8BD09F3}" type="pres">
      <dgm:prSet presAssocID="{3C430132-43C1-47EF-A156-1D4161537981}" presName="Name37" presStyleLbl="parChTrans1D3" presStyleIdx="17" presStyleCnt="22"/>
      <dgm:spPr/>
    </dgm:pt>
    <dgm:pt modelId="{897D0B9E-933E-4446-B30B-688525330F47}" type="pres">
      <dgm:prSet presAssocID="{F02C7DD0-38B5-42D3-B052-77C4D943365F}" presName="hierRoot2" presStyleCnt="0">
        <dgm:presLayoutVars>
          <dgm:hierBranch val="init"/>
        </dgm:presLayoutVars>
      </dgm:prSet>
      <dgm:spPr/>
    </dgm:pt>
    <dgm:pt modelId="{70461A7E-F756-462D-8D14-C27FED726120}" type="pres">
      <dgm:prSet presAssocID="{F02C7DD0-38B5-42D3-B052-77C4D943365F}" presName="rootComposite" presStyleCnt="0"/>
      <dgm:spPr/>
    </dgm:pt>
    <dgm:pt modelId="{55EC4157-21BA-4613-8860-42E031585862}" type="pres">
      <dgm:prSet presAssocID="{F02C7DD0-38B5-42D3-B052-77C4D943365F}" presName="rootText" presStyleLbl="node3" presStyleIdx="17" presStyleCnt="22" custLinFactNeighborX="4739" custLinFactNeighborY="-2854">
        <dgm:presLayoutVars>
          <dgm:chPref val="3"/>
        </dgm:presLayoutVars>
      </dgm:prSet>
      <dgm:spPr/>
    </dgm:pt>
    <dgm:pt modelId="{ABCA2F01-C14C-4548-BBBB-84ED0283C97F}" type="pres">
      <dgm:prSet presAssocID="{F02C7DD0-38B5-42D3-B052-77C4D943365F}" presName="rootConnector" presStyleLbl="node3" presStyleIdx="17" presStyleCnt="22"/>
      <dgm:spPr/>
    </dgm:pt>
    <dgm:pt modelId="{E67A4277-2D09-4FAD-9002-FF01C2B652C7}" type="pres">
      <dgm:prSet presAssocID="{F02C7DD0-38B5-42D3-B052-77C4D943365F}" presName="hierChild4" presStyleCnt="0"/>
      <dgm:spPr/>
    </dgm:pt>
    <dgm:pt modelId="{6BF51E8D-76E3-4BD5-82A3-F693AB920637}" type="pres">
      <dgm:prSet presAssocID="{F02C7DD0-38B5-42D3-B052-77C4D943365F}" presName="hierChild5" presStyleCnt="0"/>
      <dgm:spPr/>
    </dgm:pt>
    <dgm:pt modelId="{77E6A972-0C83-4850-8B51-4CF832FCB47F}" type="pres">
      <dgm:prSet presAssocID="{424E63FB-7A5E-47ED-BA8E-381C8BEA7B4D}" presName="hierChild5" presStyleCnt="0"/>
      <dgm:spPr/>
    </dgm:pt>
    <dgm:pt modelId="{49BBEE1F-49A6-44E1-A345-C8E578BB25F4}" type="pres">
      <dgm:prSet presAssocID="{5331C244-1A35-47AD-AE2D-510F978AF134}" presName="Name37" presStyleLbl="parChTrans1D2" presStyleIdx="7" presStyleCnt="8"/>
      <dgm:spPr/>
    </dgm:pt>
    <dgm:pt modelId="{4B3DE7AC-FD92-4B28-A798-48F5F51A9E1A}" type="pres">
      <dgm:prSet presAssocID="{E9EF6321-BDC6-43E1-A26E-2B9EACADF4BF}" presName="hierRoot2" presStyleCnt="0">
        <dgm:presLayoutVars>
          <dgm:hierBranch val="init"/>
        </dgm:presLayoutVars>
      </dgm:prSet>
      <dgm:spPr/>
    </dgm:pt>
    <dgm:pt modelId="{194BE11B-C325-4257-BB90-7B2EB6E82E60}" type="pres">
      <dgm:prSet presAssocID="{E9EF6321-BDC6-43E1-A26E-2B9EACADF4BF}" presName="rootComposite" presStyleCnt="0"/>
      <dgm:spPr/>
    </dgm:pt>
    <dgm:pt modelId="{31EB5587-12D6-4963-92EA-B8DD5F2E0388}" type="pres">
      <dgm:prSet presAssocID="{E9EF6321-BDC6-43E1-A26E-2B9EACADF4BF}" presName="rootText" presStyleLbl="node2" presStyleIdx="7" presStyleCnt="8" custLinFactNeighborX="5574" custLinFactNeighborY="-5848">
        <dgm:presLayoutVars>
          <dgm:chPref val="3"/>
        </dgm:presLayoutVars>
      </dgm:prSet>
      <dgm:spPr/>
    </dgm:pt>
    <dgm:pt modelId="{E171FEA6-442B-491D-88C9-58A0237D3D45}" type="pres">
      <dgm:prSet presAssocID="{E9EF6321-BDC6-43E1-A26E-2B9EACADF4BF}" presName="rootConnector" presStyleLbl="node2" presStyleIdx="7" presStyleCnt="8"/>
      <dgm:spPr/>
    </dgm:pt>
    <dgm:pt modelId="{C94AC487-ECFA-4C9E-BD3E-99F7078170F3}" type="pres">
      <dgm:prSet presAssocID="{E9EF6321-BDC6-43E1-A26E-2B9EACADF4BF}" presName="hierChild4" presStyleCnt="0"/>
      <dgm:spPr/>
    </dgm:pt>
    <dgm:pt modelId="{0338A758-AC60-4044-A1E3-08F8B7063D50}" type="pres">
      <dgm:prSet presAssocID="{2F6409B2-2601-47E8-997C-C9D29C9A9177}" presName="Name37" presStyleLbl="parChTrans1D3" presStyleIdx="18" presStyleCnt="22"/>
      <dgm:spPr/>
    </dgm:pt>
    <dgm:pt modelId="{05270D9B-6556-4EBE-8481-8B9B8C473A22}" type="pres">
      <dgm:prSet presAssocID="{4FA373F6-47D9-4B2D-A492-ABB571C4C6BA}" presName="hierRoot2" presStyleCnt="0">
        <dgm:presLayoutVars>
          <dgm:hierBranch val="init"/>
        </dgm:presLayoutVars>
      </dgm:prSet>
      <dgm:spPr/>
    </dgm:pt>
    <dgm:pt modelId="{AF1EEEAA-1463-4E49-BEB5-9E3C1766B228}" type="pres">
      <dgm:prSet presAssocID="{4FA373F6-47D9-4B2D-A492-ABB571C4C6BA}" presName="rootComposite" presStyleCnt="0"/>
      <dgm:spPr/>
    </dgm:pt>
    <dgm:pt modelId="{131658AD-CAD5-4F1C-8251-78F6ED9857F2}" type="pres">
      <dgm:prSet presAssocID="{4FA373F6-47D9-4B2D-A492-ABB571C4C6BA}" presName="rootText" presStyleLbl="node3" presStyleIdx="18" presStyleCnt="22">
        <dgm:presLayoutVars>
          <dgm:chPref val="3"/>
        </dgm:presLayoutVars>
      </dgm:prSet>
      <dgm:spPr/>
    </dgm:pt>
    <dgm:pt modelId="{7A2A2975-FC17-4DBC-99A9-1D31427F9426}" type="pres">
      <dgm:prSet presAssocID="{4FA373F6-47D9-4B2D-A492-ABB571C4C6BA}" presName="rootConnector" presStyleLbl="node3" presStyleIdx="18" presStyleCnt="22"/>
      <dgm:spPr/>
    </dgm:pt>
    <dgm:pt modelId="{9D28F061-4D5C-4A48-AE24-FEAF5C6DF2F3}" type="pres">
      <dgm:prSet presAssocID="{4FA373F6-47D9-4B2D-A492-ABB571C4C6BA}" presName="hierChild4" presStyleCnt="0"/>
      <dgm:spPr/>
    </dgm:pt>
    <dgm:pt modelId="{CB0DE3BC-27F2-4B11-BDE9-A04DBEF2E58D}" type="pres">
      <dgm:prSet presAssocID="{4FA373F6-47D9-4B2D-A492-ABB571C4C6BA}" presName="hierChild5" presStyleCnt="0"/>
      <dgm:spPr/>
    </dgm:pt>
    <dgm:pt modelId="{FD85A210-F679-4B06-B7F2-FEE1A47869E6}" type="pres">
      <dgm:prSet presAssocID="{CDBA7F68-5616-42C3-87B6-B08799E34C04}" presName="Name37" presStyleLbl="parChTrans1D3" presStyleIdx="19" presStyleCnt="22"/>
      <dgm:spPr/>
    </dgm:pt>
    <dgm:pt modelId="{B3073C7C-9B38-40D6-9002-0D9F23A98B00}" type="pres">
      <dgm:prSet presAssocID="{E70B908E-5028-4625-8010-10C6DA017306}" presName="hierRoot2" presStyleCnt="0">
        <dgm:presLayoutVars>
          <dgm:hierBranch val="init"/>
        </dgm:presLayoutVars>
      </dgm:prSet>
      <dgm:spPr/>
    </dgm:pt>
    <dgm:pt modelId="{9874ABE4-1EEE-478B-96FD-537F4626D13E}" type="pres">
      <dgm:prSet presAssocID="{E70B908E-5028-4625-8010-10C6DA017306}" presName="rootComposite" presStyleCnt="0"/>
      <dgm:spPr/>
    </dgm:pt>
    <dgm:pt modelId="{ED5114CC-A71F-4EF9-8C9A-BF469EED5FE3}" type="pres">
      <dgm:prSet presAssocID="{E70B908E-5028-4625-8010-10C6DA017306}" presName="rootText" presStyleLbl="node3" presStyleIdx="19" presStyleCnt="22">
        <dgm:presLayoutVars>
          <dgm:chPref val="3"/>
        </dgm:presLayoutVars>
      </dgm:prSet>
      <dgm:spPr/>
    </dgm:pt>
    <dgm:pt modelId="{171ED896-7D9C-4E74-8D5B-3416D3651E80}" type="pres">
      <dgm:prSet presAssocID="{E70B908E-5028-4625-8010-10C6DA017306}" presName="rootConnector" presStyleLbl="node3" presStyleIdx="19" presStyleCnt="22"/>
      <dgm:spPr/>
    </dgm:pt>
    <dgm:pt modelId="{9BB24D49-02A9-4A98-B5D0-0E18CB5DF66D}" type="pres">
      <dgm:prSet presAssocID="{E70B908E-5028-4625-8010-10C6DA017306}" presName="hierChild4" presStyleCnt="0"/>
      <dgm:spPr/>
    </dgm:pt>
    <dgm:pt modelId="{587CFC57-2050-473A-B57D-467DFCAF4DC4}" type="pres">
      <dgm:prSet presAssocID="{E70B908E-5028-4625-8010-10C6DA017306}" presName="hierChild5" presStyleCnt="0"/>
      <dgm:spPr/>
    </dgm:pt>
    <dgm:pt modelId="{27B4D937-B823-4539-9700-0B38BD80979F}" type="pres">
      <dgm:prSet presAssocID="{4D6B307A-4584-4EC4-BF8E-39534B90ABCA}" presName="Name37" presStyleLbl="parChTrans1D3" presStyleIdx="20" presStyleCnt="22"/>
      <dgm:spPr/>
    </dgm:pt>
    <dgm:pt modelId="{4B10732E-FEEB-4504-ACEE-34E4D7E3FECE}" type="pres">
      <dgm:prSet presAssocID="{CCF0DAF2-AEED-4084-8F6B-83AE3DFC303F}" presName="hierRoot2" presStyleCnt="0">
        <dgm:presLayoutVars>
          <dgm:hierBranch val="init"/>
        </dgm:presLayoutVars>
      </dgm:prSet>
      <dgm:spPr/>
    </dgm:pt>
    <dgm:pt modelId="{0286D38A-9BA6-4344-8222-83C122D6CA5B}" type="pres">
      <dgm:prSet presAssocID="{CCF0DAF2-AEED-4084-8F6B-83AE3DFC303F}" presName="rootComposite" presStyleCnt="0"/>
      <dgm:spPr/>
    </dgm:pt>
    <dgm:pt modelId="{6D6838A9-157D-4D38-8F74-04F46BCF8562}" type="pres">
      <dgm:prSet presAssocID="{CCF0DAF2-AEED-4084-8F6B-83AE3DFC303F}" presName="rootText" presStyleLbl="node3" presStyleIdx="20" presStyleCnt="22">
        <dgm:presLayoutVars>
          <dgm:chPref val="3"/>
        </dgm:presLayoutVars>
      </dgm:prSet>
      <dgm:spPr/>
    </dgm:pt>
    <dgm:pt modelId="{4A5DA958-178F-4732-8078-243D8DE53D28}" type="pres">
      <dgm:prSet presAssocID="{CCF0DAF2-AEED-4084-8F6B-83AE3DFC303F}" presName="rootConnector" presStyleLbl="node3" presStyleIdx="20" presStyleCnt="22"/>
      <dgm:spPr/>
    </dgm:pt>
    <dgm:pt modelId="{F687D250-ECAC-4B02-BE10-10EA2A098F5A}" type="pres">
      <dgm:prSet presAssocID="{CCF0DAF2-AEED-4084-8F6B-83AE3DFC303F}" presName="hierChild4" presStyleCnt="0"/>
      <dgm:spPr/>
    </dgm:pt>
    <dgm:pt modelId="{AB93E65C-E805-46E7-9213-108B44B6FF2C}" type="pres">
      <dgm:prSet presAssocID="{CCF0DAF2-AEED-4084-8F6B-83AE3DFC303F}" presName="hierChild5" presStyleCnt="0"/>
      <dgm:spPr/>
    </dgm:pt>
    <dgm:pt modelId="{E16844FD-9BC7-4ECB-AB2E-71E7696E96C8}" type="pres">
      <dgm:prSet presAssocID="{2E0B2EE9-BD0C-4324-BD85-48F7857284E2}" presName="Name37" presStyleLbl="parChTrans1D3" presStyleIdx="21" presStyleCnt="22"/>
      <dgm:spPr/>
    </dgm:pt>
    <dgm:pt modelId="{99F29600-13B6-4A73-BB90-12FB9E2ED0FC}" type="pres">
      <dgm:prSet presAssocID="{845EDEF1-810E-4386-8221-52E9C18C5CE6}" presName="hierRoot2" presStyleCnt="0">
        <dgm:presLayoutVars>
          <dgm:hierBranch val="init"/>
        </dgm:presLayoutVars>
      </dgm:prSet>
      <dgm:spPr/>
    </dgm:pt>
    <dgm:pt modelId="{D7A6E2FC-4D48-40B4-8129-2A4668D7190D}" type="pres">
      <dgm:prSet presAssocID="{845EDEF1-810E-4386-8221-52E9C18C5CE6}" presName="rootComposite" presStyleCnt="0"/>
      <dgm:spPr/>
    </dgm:pt>
    <dgm:pt modelId="{548BBFAF-9972-4B32-BF41-8B8A21C1D17D}" type="pres">
      <dgm:prSet presAssocID="{845EDEF1-810E-4386-8221-52E9C18C5CE6}" presName="rootText" presStyleLbl="node3" presStyleIdx="21" presStyleCnt="22">
        <dgm:presLayoutVars>
          <dgm:chPref val="3"/>
        </dgm:presLayoutVars>
      </dgm:prSet>
      <dgm:spPr/>
    </dgm:pt>
    <dgm:pt modelId="{7E6FC3EA-E3FC-40C4-BC58-D6E04C665F98}" type="pres">
      <dgm:prSet presAssocID="{845EDEF1-810E-4386-8221-52E9C18C5CE6}" presName="rootConnector" presStyleLbl="node3" presStyleIdx="21" presStyleCnt="22"/>
      <dgm:spPr/>
    </dgm:pt>
    <dgm:pt modelId="{619EE208-720F-42BB-88BF-A0CB370929C3}" type="pres">
      <dgm:prSet presAssocID="{845EDEF1-810E-4386-8221-52E9C18C5CE6}" presName="hierChild4" presStyleCnt="0"/>
      <dgm:spPr/>
    </dgm:pt>
    <dgm:pt modelId="{B7B2883B-FA2B-4B05-898F-E1CA46A6CE07}" type="pres">
      <dgm:prSet presAssocID="{845EDEF1-810E-4386-8221-52E9C18C5CE6}" presName="hierChild5" presStyleCnt="0"/>
      <dgm:spPr/>
    </dgm:pt>
    <dgm:pt modelId="{F31A5990-A10A-49F7-84EC-C1409B257F98}" type="pres">
      <dgm:prSet presAssocID="{E9EF6321-BDC6-43E1-A26E-2B9EACADF4BF}" presName="hierChild5" presStyleCnt="0"/>
      <dgm:spPr/>
    </dgm:pt>
    <dgm:pt modelId="{3B9D5E95-1320-46BA-A01E-BC0D01F0FFE2}" type="pres">
      <dgm:prSet presAssocID="{0102E4FE-20A8-44CB-9044-37DB2019EEF7}" presName="hierChild3" presStyleCnt="0"/>
      <dgm:spPr/>
    </dgm:pt>
  </dgm:ptLst>
  <dgm:cxnLst>
    <dgm:cxn modelId="{53B63F03-0985-48A4-80C2-706BB670BA50}" type="presOf" srcId="{97F38E1B-8B0A-4C1C-BB0E-8DC2824BBDEE}" destId="{8D28DA9C-651E-493C-AEB4-8DE7C4670A76}" srcOrd="0" destOrd="0" presId="urn:microsoft.com/office/officeart/2005/8/layout/orgChart1"/>
    <dgm:cxn modelId="{90B2A606-603C-48C0-90B2-E882CC121CF4}" type="presOf" srcId="{9AC19E5E-60C4-4CCF-A20E-E4814BC2FE9B}" destId="{8214640F-5D66-49B2-997F-5F320E255B10}" srcOrd="0" destOrd="0" presId="urn:microsoft.com/office/officeart/2005/8/layout/orgChart1"/>
    <dgm:cxn modelId="{EB00AF08-3569-4367-9D71-EC5C4A0E442A}" type="presOf" srcId="{4FA373F6-47D9-4B2D-A492-ABB571C4C6BA}" destId="{7A2A2975-FC17-4DBC-99A9-1D31427F9426}" srcOrd="1"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EE0F630A-CDD2-46E7-9BE9-EFADA195906C}" type="presOf" srcId="{8D244D8F-C792-40BC-A511-7DE39E45E194}" destId="{4C9AEEA8-806B-4221-A8CF-497F84C39D63}" srcOrd="0" destOrd="0" presId="urn:microsoft.com/office/officeart/2005/8/layout/orgChart1"/>
    <dgm:cxn modelId="{84D1810A-10ED-4FC4-BC59-65178ADF26FD}" type="presOf" srcId="{50F4CB47-0DB9-4B1E-9C75-49682DAC2BF7}" destId="{78FA309A-083A-4C64-9477-7A3C69B2784C}" srcOrd="0" destOrd="0" presId="urn:microsoft.com/office/officeart/2005/8/layout/orgChart1"/>
    <dgm:cxn modelId="{4037E30B-0A1B-49BA-A9AD-10794462B0D1}" type="presOf" srcId="{809B22AA-EB2B-4C4F-82C3-E979FD4CF357}" destId="{18E317F2-7CF2-4DFD-9CA0-4A1E8C4ACD68}" srcOrd="1" destOrd="0" presId="urn:microsoft.com/office/officeart/2005/8/layout/orgChart1"/>
    <dgm:cxn modelId="{52D5160C-EC02-47A7-A355-92F9A8F9822C}" type="presOf" srcId="{C2EFE54E-DDBB-4937-AAAF-B8E47F74D697}" destId="{3EDBFA9C-F817-479F-9192-D74217624230}" srcOrd="1" destOrd="0" presId="urn:microsoft.com/office/officeart/2005/8/layout/orgChart1"/>
    <dgm:cxn modelId="{F7AAB10C-8CE7-44F7-B3FA-36F5A75E2381}" type="presOf" srcId="{B3501234-EF80-4869-A279-C89BC86861D2}" destId="{551EDF52-9700-4415-9C5E-2D5BBD97710A}" srcOrd="0" destOrd="0" presId="urn:microsoft.com/office/officeart/2005/8/layout/orgChart1"/>
    <dgm:cxn modelId="{35D49F0D-8247-48D4-BFCC-E8F9E668BBF5}" type="presOf" srcId="{EBA54DFC-7FC3-4D85-9BDE-4CD347E65E6C}" destId="{82E60BB5-7FD2-4219-AE7C-29971BDCB4BB}" srcOrd="0" destOrd="0" presId="urn:microsoft.com/office/officeart/2005/8/layout/orgChart1"/>
    <dgm:cxn modelId="{D67ABC0E-CCA2-4667-8E15-19D1BAB23443}" type="presOf" srcId="{0AE7F9E1-765F-489C-8C16-C7BC49A797D9}" destId="{A2F7DB0A-CD49-4EDD-B25D-FF7E00E87D85}" srcOrd="1" destOrd="0" presId="urn:microsoft.com/office/officeart/2005/8/layout/orgChart1"/>
    <dgm:cxn modelId="{8185EA0F-F5C7-4FC7-802F-245595F8971B}" type="presOf" srcId="{B6389D6D-8AE5-4B3C-9BF6-CF7D2B974EDD}" destId="{45896F72-DCDE-404C-8364-99656B71FFED}" srcOrd="1" destOrd="0" presId="urn:microsoft.com/office/officeart/2005/8/layout/orgChart1"/>
    <dgm:cxn modelId="{27C00910-C226-4303-8866-345AE734DB89}" srcId="{0102E4FE-20A8-44CB-9044-37DB2019EEF7}" destId="{4D29C077-1695-455C-9DAA-E15887E6F57B}" srcOrd="2" destOrd="0" parTransId="{DE3A69AF-6A99-44DF-9639-EBEE5AEFB1D1}" sibTransId="{E6AEEF36-DE94-4725-A972-AA3652B3FD65}"/>
    <dgm:cxn modelId="{D8CE0311-810E-4B18-B001-18D52486399A}" type="presOf" srcId="{0102E4FE-20A8-44CB-9044-37DB2019EEF7}" destId="{9E54A725-AB28-4B64-8844-9F2951F2F7A0}" srcOrd="1" destOrd="0" presId="urn:microsoft.com/office/officeart/2005/8/layout/orgChart1"/>
    <dgm:cxn modelId="{77D66912-441F-40FD-A160-B28ACE4255EA}" type="presOf" srcId="{DBA8929B-46BA-404E-A3FA-7CF913B88C72}" destId="{47D7B08E-C006-4337-AFA5-B2B6AB5330E7}" srcOrd="0" destOrd="0" presId="urn:microsoft.com/office/officeart/2005/8/layout/orgChart1"/>
    <dgm:cxn modelId="{B5820215-1567-4A5F-A859-132FF7BA307C}" type="presOf" srcId="{939AE253-A7E2-4EBA-B997-5913C2301F5A}" destId="{CF1CE0D6-2000-45B7-B412-882350AF6F25}" srcOrd="0" destOrd="0" presId="urn:microsoft.com/office/officeart/2005/8/layout/orgChart1"/>
    <dgm:cxn modelId="{F2768E15-812C-4CC2-A520-5E6922A196A2}" type="presOf" srcId="{E9EF6321-BDC6-43E1-A26E-2B9EACADF4BF}" destId="{31EB5587-12D6-4963-92EA-B8DD5F2E0388}" srcOrd="0" destOrd="0" presId="urn:microsoft.com/office/officeart/2005/8/layout/orgChart1"/>
    <dgm:cxn modelId="{F9C41C16-8CB2-44A9-B477-C6A114FFF48D}" type="presOf" srcId="{F02C7DD0-38B5-42D3-B052-77C4D943365F}" destId="{ABCA2F01-C14C-4548-BBBB-84ED0283C97F}" srcOrd="1" destOrd="0" presId="urn:microsoft.com/office/officeart/2005/8/layout/orgChart1"/>
    <dgm:cxn modelId="{9E1D9017-A0C8-4ADF-8A67-EDB758A534D5}" type="presOf" srcId="{939AE253-A7E2-4EBA-B997-5913C2301F5A}" destId="{E332D8F5-24D1-438A-A88D-967661A9895B}" srcOrd="1" destOrd="0" presId="urn:microsoft.com/office/officeart/2005/8/layout/orgChart1"/>
    <dgm:cxn modelId="{4D8F5819-2882-4F83-87FD-7F102DAD0EEA}" type="presOf" srcId="{C2E9E08C-C520-4750-9A46-099873830BC9}" destId="{43E1BAD0-C612-479E-A76D-9ADDAE663A0D}" srcOrd="0" destOrd="0" presId="urn:microsoft.com/office/officeart/2005/8/layout/orgChart1"/>
    <dgm:cxn modelId="{4FD88319-ABC9-4E6E-B1B4-378762F4E84A}" type="presOf" srcId="{0CFB7DD9-0DA5-4E4C-8DA3-9F1B6119F4C6}" destId="{90431E3C-4F42-4628-B684-A96161BFF430}" srcOrd="0" destOrd="0" presId="urn:microsoft.com/office/officeart/2005/8/layout/orgChart1"/>
    <dgm:cxn modelId="{90DF5224-1F07-4E72-866E-A7042E907BE9}" type="presOf" srcId="{430BF0AC-52B7-4EED-8F15-681320EC2F7B}" destId="{EA31C55C-7157-4761-9B09-DED18918CD12}" srcOrd="1" destOrd="0" presId="urn:microsoft.com/office/officeart/2005/8/layout/orgChart1"/>
    <dgm:cxn modelId="{16140025-D717-4609-B8E1-53852A6BD539}" type="presOf" srcId="{CCF0DAF2-AEED-4084-8F6B-83AE3DFC303F}" destId="{4A5DA958-178F-4732-8078-243D8DE53D28}" srcOrd="1" destOrd="0" presId="urn:microsoft.com/office/officeart/2005/8/layout/orgChart1"/>
    <dgm:cxn modelId="{55751626-EAE9-4362-9E38-B30FADC5E16F}" type="presOf" srcId="{D433E747-1E2C-41A0-B616-42B31870972F}" destId="{A210511E-8313-4F28-990A-429088BA3B3F}" srcOrd="0" destOrd="0" presId="urn:microsoft.com/office/officeart/2005/8/layout/orgChart1"/>
    <dgm:cxn modelId="{B06B4C26-4946-4238-AF04-F5D79B7BB12E}" type="presOf" srcId="{2E0B2EE9-BD0C-4324-BD85-48F7857284E2}" destId="{E16844FD-9BC7-4ECB-AB2E-71E7696E96C8}" srcOrd="0" destOrd="0" presId="urn:microsoft.com/office/officeart/2005/8/layout/orgChart1"/>
    <dgm:cxn modelId="{BD33B328-C8EB-4A4F-9E02-814719FC5DAC}" type="presOf" srcId="{06E0F6A0-52CD-4AD0-B032-3E8351A6904A}" destId="{9D75A9BA-2063-4BE0-906D-7CCF7C73C3FB}" srcOrd="0" destOrd="0" presId="urn:microsoft.com/office/officeart/2005/8/layout/orgChart1"/>
    <dgm:cxn modelId="{2B29AB29-CDFE-4379-932E-51EA8D056B9B}" type="presOf" srcId="{D39B8DD9-864C-4EB7-9F89-A2AD12438034}" destId="{BA5F9E80-3D5F-4248-9517-86F91EE0B8E9}" srcOrd="0" destOrd="0" presId="urn:microsoft.com/office/officeart/2005/8/layout/orgChart1"/>
    <dgm:cxn modelId="{82A8412D-96E4-4EEF-BDD6-42BE89E6C128}" type="presOf" srcId="{8069AF01-BDAC-4439-9E0A-EA0793CC3F91}" destId="{6AC18233-7434-428C-A2CE-9E3AFE243EA4}" srcOrd="0" destOrd="0" presId="urn:microsoft.com/office/officeart/2005/8/layout/orgChart1"/>
    <dgm:cxn modelId="{808D7C2E-E77B-4DDD-BDAD-BCF2A56028F3}" type="presOf" srcId="{4EDFDD96-7D03-4644-B893-2DE9B7516A86}" destId="{3CB81659-FE3C-423B-9CBD-B42FC5FE3EA0}" srcOrd="0" destOrd="0" presId="urn:microsoft.com/office/officeart/2005/8/layout/orgChart1"/>
    <dgm:cxn modelId="{B92B522F-B1AC-4084-8435-05E3C9E7FBC1}" srcId="{4D29C077-1695-455C-9DAA-E15887E6F57B}" destId="{141B889D-94F1-45C1-B73E-13B1197CCCF8}" srcOrd="1" destOrd="0" parTransId="{16CD9583-BD21-4156-92D6-71CDB340D1AD}" sibTransId="{FD784D90-C615-46FC-910F-FBF76A3078C0}"/>
    <dgm:cxn modelId="{062A6B31-F121-45CD-BD7F-52489EC801F8}" type="presOf" srcId="{8BB75C25-BB24-48E5-95A1-BDDD2AD67385}" destId="{3A2A1C1F-CABC-4C98-B728-F262323AA994}" srcOrd="0" destOrd="0" presId="urn:microsoft.com/office/officeart/2005/8/layout/orgChart1"/>
    <dgm:cxn modelId="{C0962134-37C5-4F57-901B-316DC7DDECCB}" type="presOf" srcId="{917743FF-440D-4528-AB60-B28331E85D6A}" destId="{C5B5092F-8374-4C46-8567-B5ADA6FBAAC7}" srcOrd="0" destOrd="0" presId="urn:microsoft.com/office/officeart/2005/8/layout/orgChart1"/>
    <dgm:cxn modelId="{A52DC334-9534-4D65-A6AC-5B95B8E382BB}" type="presOf" srcId="{B5B99BBF-342F-4A4E-BF02-3E97606E944D}" destId="{0DBA4C10-E38C-4A57-BDCF-A02983AC86EA}" srcOrd="0" destOrd="0" presId="urn:microsoft.com/office/officeart/2005/8/layout/orgChart1"/>
    <dgm:cxn modelId="{ECD9BF35-09D7-4529-8793-8B237D1D23AE}" type="presOf" srcId="{4D29C077-1695-455C-9DAA-E15887E6F57B}" destId="{5368EF9E-E26F-497A-B704-8C2CE5D835FD}" srcOrd="0" destOrd="0" presId="urn:microsoft.com/office/officeart/2005/8/layout/orgChart1"/>
    <dgm:cxn modelId="{8D9A1636-BB2D-4B29-BB21-E09CBA8B6008}" type="presOf" srcId="{845EDEF1-810E-4386-8221-52E9C18C5CE6}" destId="{548BBFAF-9972-4B32-BF41-8B8A21C1D17D}" srcOrd="0" destOrd="0" presId="urn:microsoft.com/office/officeart/2005/8/layout/orgChart1"/>
    <dgm:cxn modelId="{88B9A436-20B9-4ADC-B8AF-A1BC491FC4B7}" type="presOf" srcId="{DBA8929B-46BA-404E-A3FA-7CF913B88C72}" destId="{30BF917B-30C7-4244-BCF5-B6609692DE4D}" srcOrd="1" destOrd="0" presId="urn:microsoft.com/office/officeart/2005/8/layout/orgChart1"/>
    <dgm:cxn modelId="{DE9C8239-0598-4C48-90A2-01751F1B2D4D}" srcId="{4EDFDD96-7D03-4644-B893-2DE9B7516A86}" destId="{E2EC6A85-58E6-4744-B75D-3324C60D8EE8}" srcOrd="0" destOrd="0" parTransId="{B3501234-EF80-4869-A279-C89BC86861D2}" sibTransId="{10EFCF7D-53F5-4063-BC87-A0BF36C60784}"/>
    <dgm:cxn modelId="{7E7EB73B-C608-48CE-AE0C-1217453775A4}" type="presOf" srcId="{E70B908E-5028-4625-8010-10C6DA017306}" destId="{ED5114CC-A71F-4EF9-8C9A-BF469EED5FE3}" srcOrd="0" destOrd="0" presId="urn:microsoft.com/office/officeart/2005/8/layout/orgChart1"/>
    <dgm:cxn modelId="{1FA6C13D-4421-4038-A719-3C516763C9A7}" type="presOf" srcId="{5331C244-1A35-47AD-AE2D-510F978AF134}" destId="{49BBEE1F-49A6-44E1-A345-C8E578BB25F4}" srcOrd="0" destOrd="0" presId="urn:microsoft.com/office/officeart/2005/8/layout/orgChart1"/>
    <dgm:cxn modelId="{7241A540-84B9-4248-A8C9-589551961BC5}" srcId="{8BB75C25-BB24-48E5-95A1-BDDD2AD67385}" destId="{03DF699C-3176-485E-B584-5BC85EC703ED}" srcOrd="2" destOrd="0" parTransId="{FDDB7EEE-AB02-47E4-B007-CB2A762CB7F9}" sibTransId="{C3CA3D16-3F50-4C85-8F9B-29F6F52233B6}"/>
    <dgm:cxn modelId="{1076D140-6598-43B4-9187-D31CAFB89469}" type="presOf" srcId="{E70B908E-5028-4625-8010-10C6DA017306}" destId="{171ED896-7D9C-4E74-8D5B-3416D3651E80}" srcOrd="1" destOrd="0" presId="urn:microsoft.com/office/officeart/2005/8/layout/orgChart1"/>
    <dgm:cxn modelId="{7DEED640-6810-4797-B90D-D3823279C4C0}" type="presOf" srcId="{4661214A-AF71-4F01-B5B7-3BAE62E034B1}" destId="{2BE8EFB2-4965-4609-B1C2-1F507D9025F0}" srcOrd="0" destOrd="0" presId="urn:microsoft.com/office/officeart/2005/8/layout/orgChart1"/>
    <dgm:cxn modelId="{0199475B-7199-410F-BD02-91B9F19317ED}" type="presOf" srcId="{1182CA2F-4565-428E-AE54-DA4AC822DEC1}" destId="{3A9512E9-E1C5-4380-BA7C-8E54B5E137DF}" srcOrd="0" destOrd="0" presId="urn:microsoft.com/office/officeart/2005/8/layout/orgChart1"/>
    <dgm:cxn modelId="{1B767F5B-C137-45DC-94E1-8A41F0CAB298}" type="presOf" srcId="{845EDEF1-810E-4386-8221-52E9C18C5CE6}" destId="{7E6FC3EA-E3FC-40C4-BC58-D6E04C665F98}" srcOrd="1" destOrd="0" presId="urn:microsoft.com/office/officeart/2005/8/layout/orgChart1"/>
    <dgm:cxn modelId="{9245245D-FB30-4210-A1C8-0882868A3FF5}" type="presOf" srcId="{95643014-9364-4ED7-A23C-11FF87634454}" destId="{385FC982-988E-4302-98BB-D7460D5505EC}" srcOrd="1" destOrd="0" presId="urn:microsoft.com/office/officeart/2005/8/layout/orgChart1"/>
    <dgm:cxn modelId="{0FF47A5D-144D-4A0B-AF3E-0FE5456F2EA2}" type="presOf" srcId="{CB1CFF7C-42F1-4A09-8B31-0773BB970F24}" destId="{7BD786B8-780D-4619-A5E3-357F0EDAE2E4}" srcOrd="0" destOrd="0" presId="urn:microsoft.com/office/officeart/2005/8/layout/orgChart1"/>
    <dgm:cxn modelId="{8644AD5F-31F0-4DBC-86E2-5892541AD8EE}" type="presOf" srcId="{9792CF75-292C-4BCA-A2CF-C2FA68F001BD}" destId="{B935FBDA-E2AB-49CA-8CF4-754257839CD4}" srcOrd="0" destOrd="0" presId="urn:microsoft.com/office/officeart/2005/8/layout/orgChart1"/>
    <dgm:cxn modelId="{F7BEDB41-B360-48B2-B6B5-F2645A4AC039}" type="presOf" srcId="{141B889D-94F1-45C1-B73E-13B1197CCCF8}" destId="{12FDCBF9-3BED-482D-906E-5A09DB8EAF1F}" srcOrd="0" destOrd="0" presId="urn:microsoft.com/office/officeart/2005/8/layout/orgChart1"/>
    <dgm:cxn modelId="{595C4E62-E8D0-49F9-AA39-5E75115E599A}" type="presOf" srcId="{6ED531EE-0BC7-4118-B43F-7D8D436633A8}" destId="{422A5DCC-F310-4179-AC5C-3A5AA9AB3509}" srcOrd="0" destOrd="0" presId="urn:microsoft.com/office/officeart/2005/8/layout/orgChart1"/>
    <dgm:cxn modelId="{4A15AF62-902A-4D15-AF79-ECC4A0563F2F}" srcId="{E9EF6321-BDC6-43E1-A26E-2B9EACADF4BF}" destId="{E70B908E-5028-4625-8010-10C6DA017306}" srcOrd="1" destOrd="0" parTransId="{CDBA7F68-5616-42C3-87B6-B08799E34C04}" sibTransId="{60E901BD-0EE6-4514-A73F-40E557FCE2B6}"/>
    <dgm:cxn modelId="{C552F942-1B7C-4AFB-821A-4D72C958D1CB}" srcId="{0102E4FE-20A8-44CB-9044-37DB2019EEF7}" destId="{8D244D8F-C792-40BC-A511-7DE39E45E194}" srcOrd="0" destOrd="0" parTransId="{D6922E7D-1806-4E3F-8FA5-876C5E53C8A8}" sibTransId="{0BEBD46A-8D07-492E-B8B0-DBB8BC9382EB}"/>
    <dgm:cxn modelId="{4A111A43-B2F1-4F57-B748-70E76AC93448}" type="presOf" srcId="{B71ED880-875D-465D-A2D5-7EFCE170B8F3}" destId="{A197E7E5-E989-4B2D-830A-0E09071FB3E2}" srcOrd="0" destOrd="0" presId="urn:microsoft.com/office/officeart/2005/8/layout/orgChart1"/>
    <dgm:cxn modelId="{FF2C5763-C03E-4C18-9661-7B269770897E}" type="presOf" srcId="{141B889D-94F1-45C1-B73E-13B1197CCCF8}" destId="{FC89D3C7-0538-47F7-AF35-0B577D30F034}" srcOrd="1" destOrd="0" presId="urn:microsoft.com/office/officeart/2005/8/layout/orgChart1"/>
    <dgm:cxn modelId="{5F576764-7FDA-4655-AD4C-AA88F8CAC47A}" type="presOf" srcId="{DCA270CC-2A75-49E7-89B8-4B3AC5996B9D}" destId="{B03BF5AB-02EB-4D85-9282-46894415A7C4}" srcOrd="0" destOrd="0" presId="urn:microsoft.com/office/officeart/2005/8/layout/orgChart1"/>
    <dgm:cxn modelId="{6789E164-0A5C-4FB7-A536-99DA5B4313D3}" srcId="{D5E38E4B-FED5-4A0A-B8AA-8728BED387A3}" destId="{430BF0AC-52B7-4EED-8F15-681320EC2F7B}" srcOrd="2" destOrd="0" parTransId="{06E0F6A0-52CD-4AD0-B032-3E8351A6904A}" sibTransId="{A5263FEA-DEBA-4AFC-80A7-8A5481FFA6CE}"/>
    <dgm:cxn modelId="{6AD01F65-6C9B-4B63-A547-42D4B20D3C2D}" type="presOf" srcId="{DC6688E7-45CF-4D5C-9D56-6B7EDCF265A6}" destId="{8361F233-B12E-43F6-BC39-A98D94AE39A7}" srcOrd="0" destOrd="0" presId="urn:microsoft.com/office/officeart/2005/8/layout/orgChart1"/>
    <dgm:cxn modelId="{8DC69C45-FADD-4292-94B9-73B4EEB6A6F6}" type="presOf" srcId="{E0114C20-3A39-4242-9BD4-7E3A42C0079E}" destId="{6E904246-481F-4578-AD91-764D29E6D564}" srcOrd="0" destOrd="0" presId="urn:microsoft.com/office/officeart/2005/8/layout/orgChart1"/>
    <dgm:cxn modelId="{0B06A545-F7FA-4E92-9E10-17CE2A337029}" srcId="{424E63FB-7A5E-47ED-BA8E-381C8BEA7B4D}" destId="{F02C7DD0-38B5-42D3-B052-77C4D943365F}" srcOrd="2" destOrd="0" parTransId="{3C430132-43C1-47EF-A156-1D4161537981}" sibTransId="{50138A85-8EAD-497B-B628-3150CB39B50A}"/>
    <dgm:cxn modelId="{0E791946-38FC-4E0E-AE73-90ADB91EFB4C}" type="presOf" srcId="{86AF350A-A785-4BDD-9C13-1E90196942B4}" destId="{61BD3AC5-6CF6-4CA9-B7DA-7A4EF7D20243}" srcOrd="1" destOrd="0" presId="urn:microsoft.com/office/officeart/2005/8/layout/orgChart1"/>
    <dgm:cxn modelId="{3B078566-EC3F-4A5F-80E9-41C46F5A4375}" type="presOf" srcId="{EB4D8335-8BE0-4973-AB60-04F8ECAC0E83}" destId="{437A1297-BF94-4C16-89EC-F9C850AB66AC}" srcOrd="0" destOrd="0" presId="urn:microsoft.com/office/officeart/2005/8/layout/orgChart1"/>
    <dgm:cxn modelId="{E8CAFC66-D95E-4317-A7A2-C8AB6D6BA112}" srcId="{025397C8-278A-4FB7-A986-A1B487EA1563}" destId="{602FD50F-130C-4E3A-A16E-AF79EACA12AD}" srcOrd="0" destOrd="0" parTransId="{7B0E8674-AF5F-4D43-BDCB-E4D39514593E}" sibTransId="{D4ED3A0A-0C59-4430-AAD1-BDBBC840422D}"/>
    <dgm:cxn modelId="{71E52267-2C6C-4C43-9C26-BB7FE9F94DFB}" type="presOf" srcId="{D6922E7D-1806-4E3F-8FA5-876C5E53C8A8}" destId="{7BA6A4CA-F40E-4826-9E97-95062F5DD647}" srcOrd="0" destOrd="0" presId="urn:microsoft.com/office/officeart/2005/8/layout/orgChart1"/>
    <dgm:cxn modelId="{0D76C447-0211-4CFC-9AA1-10AA8D9ADF80}" type="presOf" srcId="{12E89453-6DCE-4C8D-9238-8E58E38D47DF}" destId="{CDAB659F-E50D-4498-911B-0C6547CF2432}" srcOrd="1" destOrd="0" presId="urn:microsoft.com/office/officeart/2005/8/layout/orgChart1"/>
    <dgm:cxn modelId="{DDD71448-F93D-4DC6-94D1-442C86DBB76A}" type="presOf" srcId="{3C430132-43C1-47EF-A156-1D4161537981}" destId="{86E8989D-6C94-463D-9588-B288E8BD09F3}" srcOrd="0" destOrd="0" presId="urn:microsoft.com/office/officeart/2005/8/layout/orgChart1"/>
    <dgm:cxn modelId="{28D9584A-48E2-41A6-B17E-17EFF1FDE8DC}" type="presOf" srcId="{E9EF6321-BDC6-43E1-A26E-2B9EACADF4BF}" destId="{E171FEA6-442B-491D-88C9-58A0237D3D45}" srcOrd="1" destOrd="0" presId="urn:microsoft.com/office/officeart/2005/8/layout/orgChart1"/>
    <dgm:cxn modelId="{8856D64A-8E4C-492F-98E8-19CF0A0ADB32}" srcId="{0CFB7DD9-0DA5-4E4C-8DA3-9F1B6119F4C6}" destId="{0102E4FE-20A8-44CB-9044-37DB2019EEF7}" srcOrd="0" destOrd="0" parTransId="{2EDE4DE6-9005-475A-8D27-D82D00EB941C}" sibTransId="{E7C380F8-F032-4E10-986A-DDA7FC09E32D}"/>
    <dgm:cxn modelId="{42E7474D-2A99-4EFD-B613-EECA2DB6A755}" type="presOf" srcId="{4D6B307A-4584-4EC4-BF8E-39534B90ABCA}" destId="{27B4D937-B823-4539-9700-0B38BD80979F}" srcOrd="0" destOrd="0" presId="urn:microsoft.com/office/officeart/2005/8/layout/orgChart1"/>
    <dgm:cxn modelId="{BD7C936E-0D7B-4EA2-A584-F455BD02D904}" type="presOf" srcId="{D9DCBD92-CF2D-4FA3-9650-A94983E94475}" destId="{DA2E93DC-BB1D-4564-889B-BA004AC786E0}" srcOrd="0" destOrd="0" presId="urn:microsoft.com/office/officeart/2005/8/layout/orgChart1"/>
    <dgm:cxn modelId="{3D7DD36E-03E9-42F3-B684-10B7CEF98A4F}" srcId="{86AF350A-A785-4BDD-9C13-1E90196942B4}" destId="{C2EFE54E-DDBB-4937-AAAF-B8E47F74D697}" srcOrd="2" destOrd="0" parTransId="{DCA270CC-2A75-49E7-89B8-4B3AC5996B9D}" sibTransId="{5DE7361D-5FEF-405C-B0DD-35377479C1DF}"/>
    <dgm:cxn modelId="{78A8F96F-65AB-4817-B59B-1CCBE524BAEB}" type="presOf" srcId="{B6389D6D-8AE5-4B3C-9BF6-CF7D2B974EDD}" destId="{9E9FE827-52A4-46D9-ADB2-E6FCF0B9E008}" srcOrd="0" destOrd="0" presId="urn:microsoft.com/office/officeart/2005/8/layout/orgChart1"/>
    <dgm:cxn modelId="{B5DB2070-84A7-4844-88D7-3ED7D7495686}" type="presOf" srcId="{1FA32465-79CA-43E4-925C-FD9E6E9DB5C8}" destId="{0A7F2A46-750F-45A2-923B-D1292802EFDC}" srcOrd="0" destOrd="0" presId="urn:microsoft.com/office/officeart/2005/8/layout/orgChart1"/>
    <dgm:cxn modelId="{174F1151-199E-4A48-9912-F433492F3A6A}" type="presOf" srcId="{4FA373F6-47D9-4B2D-A492-ABB571C4C6BA}" destId="{131658AD-CAD5-4F1C-8251-78F6ED9857F2}" srcOrd="0" destOrd="0" presId="urn:microsoft.com/office/officeart/2005/8/layout/orgChart1"/>
    <dgm:cxn modelId="{0060CB53-C15C-459C-8333-6A063C8A178D}" type="presOf" srcId="{EB3954B5-74F4-4D11-9DFF-EA78507987CB}" destId="{85AD923B-4E2C-411D-9E05-6D278E6E3C31}" srcOrd="0" destOrd="0" presId="urn:microsoft.com/office/officeart/2005/8/layout/orgChart1"/>
    <dgm:cxn modelId="{FA008174-6CF0-466E-98A0-97CB4007ED32}" type="presOf" srcId="{D6F5CD79-D3E1-4B19-9C25-479267A00537}" destId="{C0FC47CA-1988-459D-A473-7CA219823B7E}" srcOrd="1" destOrd="0" presId="urn:microsoft.com/office/officeart/2005/8/layout/orgChart1"/>
    <dgm:cxn modelId="{5D389D54-A2F2-4C4E-A0BF-FA3070C0117F}" type="presOf" srcId="{7B0E8674-AF5F-4D43-BDCB-E4D39514593E}" destId="{47A21D83-0961-4F83-B6CA-9111DF4BFE52}" srcOrd="0" destOrd="0" presId="urn:microsoft.com/office/officeart/2005/8/layout/orgChart1"/>
    <dgm:cxn modelId="{BE68DC54-234E-40CF-A5BB-D05FB7CA7DA4}" type="presOf" srcId="{E2EC6A85-58E6-4744-B75D-3324C60D8EE8}" destId="{07D3882F-C235-4ADF-85FA-E879C777A8BD}" srcOrd="0" destOrd="0" presId="urn:microsoft.com/office/officeart/2005/8/layout/orgChart1"/>
    <dgm:cxn modelId="{71E1FC74-41F8-4DF4-A6BB-6C89D145CA37}" srcId="{141B889D-94F1-45C1-B73E-13B1197CCCF8}" destId="{0AE7F9E1-765F-489C-8C16-C7BC49A797D9}" srcOrd="0" destOrd="0" parTransId="{3D8434B0-DEC5-4689-B419-C2351767EFE8}" sibTransId="{CF6AFA8F-6A63-4640-9B8A-9183306EE590}"/>
    <dgm:cxn modelId="{33AE2555-4F2E-48A5-820C-7C3275D578CC}" type="presOf" srcId="{3F1B0426-4EA2-44D9-B786-B19B57D5CDEA}" destId="{1CAB3E94-5855-4109-A43C-7105AD6B26D0}" srcOrd="0" destOrd="0" presId="urn:microsoft.com/office/officeart/2005/8/layout/orgChart1"/>
    <dgm:cxn modelId="{87F57775-E1CB-4C77-B610-15C932BBF66E}" srcId="{424E63FB-7A5E-47ED-BA8E-381C8BEA7B4D}" destId="{92338313-9670-40FB-8040-D372407E9060}" srcOrd="0" destOrd="0" parTransId="{2EA6147A-4097-4648-9D83-1C15EC3F6E1C}" sibTransId="{B4F18F56-A5B4-46E0-A7B1-FB49C24421E2}"/>
    <dgm:cxn modelId="{4A2D8755-0CFA-4659-993A-B10BB913460D}" srcId="{0102E4FE-20A8-44CB-9044-37DB2019EEF7}" destId="{0E0D5914-9733-4438-B53B-E54AED87BD25}" srcOrd="3" destOrd="0" parTransId="{C025D0B3-3453-4AB2-8C0D-9A93251A872D}" sibTransId="{D8EA48FB-2A30-458D-BF2E-504D6379A563}"/>
    <dgm:cxn modelId="{A408C955-36A2-4BC4-89EE-0D024A0A01CB}" type="presOf" srcId="{4D29C077-1695-455C-9DAA-E15887E6F57B}" destId="{05AACB28-368C-4D12-A4D8-69764BDEC4D2}" srcOrd="1" destOrd="0" presId="urn:microsoft.com/office/officeart/2005/8/layout/orgChart1"/>
    <dgm:cxn modelId="{5FA28F56-013D-472F-83B5-8187D8315481}" srcId="{86AF350A-A785-4BDD-9C13-1E90196942B4}" destId="{85C9611E-0EC3-4C90-8306-3D5D07DB36F8}" srcOrd="1" destOrd="0" parTransId="{4661214A-AF71-4F01-B5B7-3BAE62E034B1}" sibTransId="{764D2B81-8F9C-4694-8817-C29E2CC9CA1B}"/>
    <dgm:cxn modelId="{5674EC56-7284-401F-B9D6-9A37111DF4F8}" srcId="{8D244D8F-C792-40BC-A511-7DE39E45E194}" destId="{939AE253-A7E2-4EBA-B997-5913C2301F5A}" srcOrd="1" destOrd="0" parTransId="{CB1CFF7C-42F1-4A09-8B31-0773BB970F24}" sibTransId="{8DE7717C-7BB8-4CCA-B0CF-5548E227F675}"/>
    <dgm:cxn modelId="{0D177177-CC49-45DA-9B1D-0C68337694D7}" type="presOf" srcId="{602FD50F-130C-4E3A-A16E-AF79EACA12AD}" destId="{9F318731-EE01-4314-B79B-B28E42749C00}" srcOrd="1" destOrd="0" presId="urn:microsoft.com/office/officeart/2005/8/layout/orgChart1"/>
    <dgm:cxn modelId="{FAD6AF58-B8D0-4A89-A77F-5D6E37F03E1E}" srcId="{E9EF6321-BDC6-43E1-A26E-2B9EACADF4BF}" destId="{4FA373F6-47D9-4B2D-A492-ABB571C4C6BA}" srcOrd="0" destOrd="0" parTransId="{2F6409B2-2601-47E8-997C-C9D29C9A9177}" sibTransId="{84FE6671-3CCA-4947-8EC9-31EE3A895F6F}"/>
    <dgm:cxn modelId="{9130E858-8CB9-455C-B201-B41D81602AF2}" type="presOf" srcId="{E2EA6942-20E6-4D51-99FA-C77C5E746936}" destId="{3CD38DC8-3D55-42DE-AD09-72BD953ED7FB}" srcOrd="0" destOrd="0" presId="urn:microsoft.com/office/officeart/2005/8/layout/orgChart1"/>
    <dgm:cxn modelId="{A3B8D879-D2E9-45FA-9DD8-499E3F765563}" type="presOf" srcId="{430BF0AC-52B7-4EED-8F15-681320EC2F7B}" destId="{DD041405-12E2-46AF-8185-E79A3B1300BA}" srcOrd="0" destOrd="0" presId="urn:microsoft.com/office/officeart/2005/8/layout/orgChart1"/>
    <dgm:cxn modelId="{8A23767A-9C3F-4E56-B59C-7BCEF096F684}" srcId="{025397C8-278A-4FB7-A986-A1B487EA1563}" destId="{E5E9916D-2D7F-4C7A-A808-9D88F35BEC5A}" srcOrd="1" destOrd="0" parTransId="{6EAA41E0-1525-42E3-A200-48C0FE921E72}" sibTransId="{4AC5E256-0BCF-40E2-AEBD-A2D1A83F40E2}"/>
    <dgm:cxn modelId="{A3DA7F5A-5DB7-430C-A7E5-4309E3E7E1B1}" type="presOf" srcId="{92338313-9670-40FB-8040-D372407E9060}" destId="{8DE7EDC3-030C-4699-90B7-316F8F127CEA}" srcOrd="1" destOrd="0" presId="urn:microsoft.com/office/officeart/2005/8/layout/orgChart1"/>
    <dgm:cxn modelId="{FAD9897A-D3F6-463F-94FA-BCC36CE5020F}" type="presOf" srcId="{0E0D5914-9733-4438-B53B-E54AED87BD25}" destId="{FA21B6A8-6AD6-40C5-B832-097165E0AE14}" srcOrd="1" destOrd="0" presId="urn:microsoft.com/office/officeart/2005/8/layout/orgChart1"/>
    <dgm:cxn modelId="{A07DF47A-E69E-495D-8151-1979DE0A5DDB}" srcId="{8BB75C25-BB24-48E5-95A1-BDDD2AD67385}" destId="{9AC19E5E-60C4-4CCF-A20E-E4814BC2FE9B}" srcOrd="1" destOrd="0" parTransId="{699FA3BB-5DDB-4810-8B78-2E6BCAFDC511}" sibTransId="{9F54CECE-D9A6-4EF2-828B-C01621ECF61C}"/>
    <dgm:cxn modelId="{B7AC3C7B-0BE2-4CB7-AD76-781FCBA9DD7A}" srcId="{8D244D8F-C792-40BC-A511-7DE39E45E194}" destId="{B6389D6D-8AE5-4B3C-9BF6-CF7D2B974EDD}" srcOrd="0" destOrd="0" parTransId="{B5B99BBF-342F-4A4E-BF02-3E97606E944D}" sibTransId="{9C75F253-3EC4-44CF-866A-C32D08314D38}"/>
    <dgm:cxn modelId="{3ACB307D-4C85-4D59-A232-B16CEB3A2AAE}" type="presOf" srcId="{B9C1F6B3-5F2B-4E62-8081-E4442A4A1FAD}" destId="{D18005E3-3D18-450E-9096-830C7B84DD3D}" srcOrd="0" destOrd="0" presId="urn:microsoft.com/office/officeart/2005/8/layout/orgChart1"/>
    <dgm:cxn modelId="{4387ED7D-5F3B-46B7-B12F-728CA68BFDFD}" type="presOf" srcId="{602FD50F-130C-4E3A-A16E-AF79EACA12AD}" destId="{D2B32FE8-B300-4E27-B7E2-297F3F999D4E}" srcOrd="0" destOrd="0" presId="urn:microsoft.com/office/officeart/2005/8/layout/orgChart1"/>
    <dgm:cxn modelId="{3B8C2C7E-1AC5-4D33-8EB4-62FE85A6FAAC}" type="presOf" srcId="{0B7A893D-34B0-412E-AAF0-3244FF37E62F}" destId="{9DEDF8A8-C04F-4AC1-8A19-9C5D980141EF}" srcOrd="1" destOrd="0" presId="urn:microsoft.com/office/officeart/2005/8/layout/orgChart1"/>
    <dgm:cxn modelId="{25A7167F-DF6B-457E-B8FE-9C31F86E5923}" srcId="{97F38E1B-8B0A-4C1C-BB0E-8DC2824BBDEE}" destId="{86AF350A-A785-4BDD-9C13-1E90196942B4}" srcOrd="0" destOrd="0" parTransId="{B7B3C6AE-DFBB-46A9-8CF1-A1BD803B9409}" sibTransId="{E2A53098-4FAB-4666-9DF9-9FFC35DA3367}"/>
    <dgm:cxn modelId="{B03B967F-C3CE-4D91-8C3D-E05DB935023E}" type="presOf" srcId="{3D8434B0-DEC5-4689-B419-C2351767EFE8}" destId="{169005B3-517D-446B-8623-5C28558CA7A7}" srcOrd="0" destOrd="0" presId="urn:microsoft.com/office/officeart/2005/8/layout/orgChart1"/>
    <dgm:cxn modelId="{78F8A77F-3D5D-443E-AB45-7507602FEAFC}" type="presOf" srcId="{E2EC6A85-58E6-4744-B75D-3324C60D8EE8}" destId="{4AFAFC3D-D935-4174-82BF-8097E9CC3978}" srcOrd="1" destOrd="0" presId="urn:microsoft.com/office/officeart/2005/8/layout/orgChart1"/>
    <dgm:cxn modelId="{0AED4782-D879-45C3-B3C6-5EC73B519BF9}" type="presOf" srcId="{CCF0DAF2-AEED-4084-8F6B-83AE3DFC303F}" destId="{6D6838A9-157D-4D38-8F74-04F46BCF8562}" srcOrd="0" destOrd="0" presId="urn:microsoft.com/office/officeart/2005/8/layout/orgChart1"/>
    <dgm:cxn modelId="{D517D982-681A-4DAE-9E56-05D025F2E211}" type="presOf" srcId="{424E63FB-7A5E-47ED-BA8E-381C8BEA7B4D}" destId="{14354306-A96D-4F9B-B8CB-A1923889D20A}" srcOrd="1" destOrd="0" presId="urn:microsoft.com/office/officeart/2005/8/layout/orgChart1"/>
    <dgm:cxn modelId="{C88B0785-661D-4872-A092-A6D5614FDF76}" type="presOf" srcId="{F02C7DD0-38B5-42D3-B052-77C4D943365F}" destId="{55EC4157-21BA-4613-8860-42E031585862}" srcOrd="0" destOrd="0" presId="urn:microsoft.com/office/officeart/2005/8/layout/orgChart1"/>
    <dgm:cxn modelId="{33CF0486-E025-41B6-8F27-64163D372171}" type="presOf" srcId="{E5E9916D-2D7F-4C7A-A808-9D88F35BEC5A}" destId="{45F7E176-19D1-4464-8B8E-5DA14B89B110}" srcOrd="1" destOrd="0" presId="urn:microsoft.com/office/officeart/2005/8/layout/orgChart1"/>
    <dgm:cxn modelId="{D1030D86-CB23-4D86-BC42-698014A897BB}" type="presOf" srcId="{8AB7F64B-E4EA-46A3-93C5-530B1FAAB3A0}" destId="{521FEAC1-E658-4130-BFDF-12AE10471782}" srcOrd="1" destOrd="0" presId="urn:microsoft.com/office/officeart/2005/8/layout/orgChart1"/>
    <dgm:cxn modelId="{82302886-17A7-429D-8D7C-52E436DEA112}" type="presOf" srcId="{699FA3BB-5DDB-4810-8B78-2E6BCAFDC511}" destId="{679EAA6C-B7F9-45B1-B314-064B1497E450}" srcOrd="0" destOrd="0" presId="urn:microsoft.com/office/officeart/2005/8/layout/orgChart1"/>
    <dgm:cxn modelId="{F2F8CE87-B432-4916-B3C1-8E5F38EE889E}" type="presOf" srcId="{D5E38E4B-FED5-4A0A-B8AA-8728BED387A3}" destId="{E962E456-3173-4AC8-9388-5565756FFDF6}" srcOrd="1" destOrd="0" presId="urn:microsoft.com/office/officeart/2005/8/layout/orgChart1"/>
    <dgm:cxn modelId="{79070288-5C9A-4FF0-A4A2-C0FC63E73C51}" type="presOf" srcId="{8AB7F64B-E4EA-46A3-93C5-530B1FAAB3A0}" destId="{CC7BE9CC-9E44-4B05-9B0E-850124C3547A}" srcOrd="0" destOrd="0" presId="urn:microsoft.com/office/officeart/2005/8/layout/orgChart1"/>
    <dgm:cxn modelId="{CE967688-7026-4EBB-B0C1-EB6675E5AE4C}" type="presOf" srcId="{424E63FB-7A5E-47ED-BA8E-381C8BEA7B4D}" destId="{9A681887-5350-4EBE-BD43-C7E4297AB1BB}" srcOrd="0" destOrd="0" presId="urn:microsoft.com/office/officeart/2005/8/layout/orgChart1"/>
    <dgm:cxn modelId="{234D7E89-07F1-497E-8378-F744874A3083}" type="presOf" srcId="{85C9611E-0EC3-4C90-8306-3D5D07DB36F8}" destId="{539C43EC-88FB-4101-BFC8-2FBEBDCB1CFF}" srcOrd="0" destOrd="0" presId="urn:microsoft.com/office/officeart/2005/8/layout/orgChart1"/>
    <dgm:cxn modelId="{81674B8D-BEE0-484A-AE57-927936E32D0F}" srcId="{025397C8-278A-4FB7-A986-A1B487EA1563}" destId="{12E89453-6DCE-4C8D-9238-8E58E38D47DF}" srcOrd="2" destOrd="0" parTransId="{EB4D8335-8BE0-4973-AB60-04F8ECAC0E83}" sibTransId="{C73E875F-3187-4BD7-9313-AA534DD6CF0C}"/>
    <dgm:cxn modelId="{770E8D90-516F-4401-BB99-E794D053AAD6}" type="presOf" srcId="{EB3954B5-74F4-4D11-9DFF-EA78507987CB}" destId="{C9DB3AA9-5EBE-4CDD-923A-16B2DED554F2}" srcOrd="1" destOrd="0" presId="urn:microsoft.com/office/officeart/2005/8/layout/orgChart1"/>
    <dgm:cxn modelId="{89D03694-0C93-4F1C-B1B4-E034EBA6CBA3}" type="presOf" srcId="{69233474-9CCA-431F-ADB6-8A9AC33B9697}" destId="{3957C82B-EF44-4844-A580-BC3F07AD1AAA}" srcOrd="1" destOrd="0" presId="urn:microsoft.com/office/officeart/2005/8/layout/orgChart1"/>
    <dgm:cxn modelId="{F00AE697-1A16-469A-B39D-A23DF3C7DA95}" type="presOf" srcId="{88490267-DE7E-43ED-9BD4-B69E754A61AF}" destId="{B1F44040-471C-47E1-AA4C-3975425FBF91}" srcOrd="0" destOrd="0" presId="urn:microsoft.com/office/officeart/2005/8/layout/orgChart1"/>
    <dgm:cxn modelId="{FA311D98-6CC1-46A7-A06B-FD9A7AA7D2B8}" type="presOf" srcId="{03DF699C-3176-485E-B584-5BC85EC703ED}" destId="{0CE7C8B4-F8E6-429D-8C4A-73E9D60DCB81}" srcOrd="0" destOrd="0" presId="urn:microsoft.com/office/officeart/2005/8/layout/orgChart1"/>
    <dgm:cxn modelId="{8F7AF59A-A09C-4519-9E40-16E103BD2262}" srcId="{0102E4FE-20A8-44CB-9044-37DB2019EEF7}" destId="{809B22AA-EB2B-4C4F-82C3-E979FD4CF357}" srcOrd="1" destOrd="0" parTransId="{E2EA6942-20E6-4D51-99FA-C77C5E746936}" sibTransId="{A3E7A7D9-26B8-432D-9CFA-8BAF85BB66C1}"/>
    <dgm:cxn modelId="{3EA162A4-132D-4878-91E4-70CE79167425}" srcId="{4D29C077-1695-455C-9DAA-E15887E6F57B}" destId="{4EDFDD96-7D03-4644-B893-2DE9B7516A86}" srcOrd="0" destOrd="0" parTransId="{F488A61D-44A8-43AF-8D4D-9D3A28823A7B}" sibTransId="{DE838DFA-5D9A-4E00-863E-4F0DE9AEC1FD}"/>
    <dgm:cxn modelId="{48BB0AA5-8343-45DD-B460-7B85C011C3C5}" type="presOf" srcId="{85C9611E-0EC3-4C90-8306-3D5D07DB36F8}" destId="{37EBA9EA-1D7F-4485-92CD-286075E5D657}" srcOrd="1" destOrd="0" presId="urn:microsoft.com/office/officeart/2005/8/layout/orgChart1"/>
    <dgm:cxn modelId="{D8EA20A6-B6D0-4295-B2C8-34CD0A3BC19C}" type="presOf" srcId="{69233474-9CCA-431F-ADB6-8A9AC33B9697}" destId="{D7DDDDF0-F44F-4B11-B08B-89295DEA0D9B}" srcOrd="0" destOrd="0" presId="urn:microsoft.com/office/officeart/2005/8/layout/orgChart1"/>
    <dgm:cxn modelId="{3B5F0FA7-1D94-416A-8F5E-7726C8A8E7AE}" type="presOf" srcId="{025397C8-278A-4FB7-A986-A1B487EA1563}" destId="{9BBA3CDE-9578-436B-BF71-4165D5256392}" srcOrd="1" destOrd="0" presId="urn:microsoft.com/office/officeart/2005/8/layout/orgChart1"/>
    <dgm:cxn modelId="{FE028EA7-5920-4E75-97E4-B0332F9B2390}" type="presOf" srcId="{917743FF-440D-4528-AB60-B28331E85D6A}" destId="{8A9EBF63-A449-476C-B9EF-8D13ECA5F859}" srcOrd="1" destOrd="0" presId="urn:microsoft.com/office/officeart/2005/8/layout/orgChart1"/>
    <dgm:cxn modelId="{AB9603A9-BC6A-4390-BD18-B3AA2F41282F}" type="presOf" srcId="{6B85388F-71E1-413F-BC49-7FE13C99924D}" destId="{DE31F5CA-37EC-464B-A0E1-9AB790904E0E}" srcOrd="0" destOrd="0" presId="urn:microsoft.com/office/officeart/2005/8/layout/orgChart1"/>
    <dgm:cxn modelId="{CB01DDAA-322F-4E93-B83B-9A9E38B0760B}" type="presOf" srcId="{1FA32465-79CA-43E4-925C-FD9E6E9DB5C8}" destId="{5517D03E-AE9E-4827-A3FB-E1CF8BC3E098}" srcOrd="1" destOrd="0" presId="urn:microsoft.com/office/officeart/2005/8/layout/orgChart1"/>
    <dgm:cxn modelId="{1C1260AB-BAF4-4931-8E4E-3824C368E924}" type="presOf" srcId="{DE3A69AF-6A99-44DF-9639-EBEE5AEFB1D1}" destId="{146AE877-ED15-459B-B13B-AF077FBB1040}" srcOrd="0" destOrd="0" presId="urn:microsoft.com/office/officeart/2005/8/layout/orgChart1"/>
    <dgm:cxn modelId="{1B1757AC-E291-4B8F-BC7A-29CAB0E91522}" type="presOf" srcId="{D9DCBD92-CF2D-4FA3-9650-A94983E94475}" destId="{99E07EF1-2718-49C0-B549-73DEE2F71416}" srcOrd="1" destOrd="0" presId="urn:microsoft.com/office/officeart/2005/8/layout/orgChart1"/>
    <dgm:cxn modelId="{6CE5CEAC-6ACC-4255-BB12-342AB0AE8369}" type="presOf" srcId="{97F38E1B-8B0A-4C1C-BB0E-8DC2824BBDEE}" destId="{CAC4091A-492F-459B-840C-5F8135FD499F}" srcOrd="1" destOrd="0" presId="urn:microsoft.com/office/officeart/2005/8/layout/orgChart1"/>
    <dgm:cxn modelId="{8143ECAC-8C4C-47C1-BE6F-EDE70511FE71}" type="presOf" srcId="{CDBA7F68-5616-42C3-87B6-B08799E34C04}" destId="{FD85A210-F679-4B06-B7F2-FEE1A47869E6}" srcOrd="0" destOrd="0" presId="urn:microsoft.com/office/officeart/2005/8/layout/orgChart1"/>
    <dgm:cxn modelId="{3F11EFAC-B19D-417A-9CCB-411CE3099F2D}" type="presOf" srcId="{0102E4FE-20A8-44CB-9044-37DB2019EEF7}" destId="{2D883808-430E-40D8-8B07-302E85302A34}" srcOrd="0" destOrd="0" presId="urn:microsoft.com/office/officeart/2005/8/layout/orgChart1"/>
    <dgm:cxn modelId="{42CE9EAE-2230-418C-9DA3-5F45B009D565}" type="presOf" srcId="{12E89453-6DCE-4C8D-9238-8E58E38D47DF}" destId="{08E72879-DC68-4B71-817A-C7C0F3436399}" srcOrd="0" destOrd="0" presId="urn:microsoft.com/office/officeart/2005/8/layout/orgChart1"/>
    <dgm:cxn modelId="{633930AF-3D0C-41D1-9D7D-CE36CB354B8D}" srcId="{424E63FB-7A5E-47ED-BA8E-381C8BEA7B4D}" destId="{8AB7F64B-E4EA-46A3-93C5-530B1FAAB3A0}" srcOrd="1" destOrd="0" parTransId="{D39B8DD9-864C-4EB7-9F89-A2AD12438034}" sibTransId="{54EF72C2-E454-4C40-B61C-C5559BC6F1E5}"/>
    <dgm:cxn modelId="{723A64B0-8C44-4CB5-83E4-D268F58686A7}" type="presOf" srcId="{8BB75C25-BB24-48E5-95A1-BDDD2AD67385}" destId="{0393B6C4-B4FB-4B6B-8DB5-37B9B19AABA4}" srcOrd="1" destOrd="0" presId="urn:microsoft.com/office/officeart/2005/8/layout/orgChart1"/>
    <dgm:cxn modelId="{7D90D0B1-CF9F-4A95-8A24-0345C1BD0CB6}" type="presOf" srcId="{92338313-9670-40FB-8040-D372407E9060}" destId="{A4073290-40FA-4447-A63D-A2A271E69369}" srcOrd="0" destOrd="0" presId="urn:microsoft.com/office/officeart/2005/8/layout/orgChart1"/>
    <dgm:cxn modelId="{EB7666B2-9172-4ECA-B786-AA8FF5113B06}" srcId="{D9DCBD92-CF2D-4FA3-9650-A94983E94475}" destId="{C2E9E08C-C520-4750-9A46-099873830BC9}" srcOrd="1" destOrd="0" parTransId="{304499FC-178F-457B-9D5B-07C633CC1703}" sibTransId="{E69A4F6D-B644-4F5C-905D-8356A91FFF6D}"/>
    <dgm:cxn modelId="{915B7BB2-22C3-4032-8062-59C88F493245}" type="presOf" srcId="{95643014-9364-4ED7-A23C-11FF87634454}" destId="{3C105CD6-BA5F-4296-9ADF-C21FEB294665}" srcOrd="0" destOrd="0" presId="urn:microsoft.com/office/officeart/2005/8/layout/orgChart1"/>
    <dgm:cxn modelId="{7C9713B4-57D5-487A-A16C-01E11AD1CDC3}" type="presOf" srcId="{69F86B7A-C44C-44F2-8EB4-E2847C14540F}" destId="{FA04B69D-268A-446E-98B0-E93679E0B0F9}" srcOrd="0" destOrd="0" presId="urn:microsoft.com/office/officeart/2005/8/layout/orgChart1"/>
    <dgm:cxn modelId="{A0E7CBB5-7CF0-42B5-B4E5-93BE50449420}" srcId="{D9DCBD92-CF2D-4FA3-9650-A94983E94475}" destId="{DBA8929B-46BA-404E-A3FA-7CF913B88C72}" srcOrd="0" destOrd="0" parTransId="{F26A6E32-5FBB-4CEF-BDB1-A0E805534581}" sibTransId="{79AC7646-F02B-4EB7-8D35-A654D4BDF6CA}"/>
    <dgm:cxn modelId="{ED1406B7-E313-4500-A905-78A48F833567}" type="presOf" srcId="{28D8B257-A9CA-4DEF-82EB-3BC9181A0F5A}" destId="{761243C1-22DA-44DB-B1AF-653199C71AC9}" srcOrd="1" destOrd="0" presId="urn:microsoft.com/office/officeart/2005/8/layout/orgChart1"/>
    <dgm:cxn modelId="{186A48B7-C942-4DF9-A198-0A87B53EE7B1}" srcId="{D5E38E4B-FED5-4A0A-B8AA-8728BED387A3}" destId="{B71ED880-875D-465D-A2D5-7EFCE170B8F3}" srcOrd="0" destOrd="0" parTransId="{6B85388F-71E1-413F-BC49-7FE13C99924D}" sibTransId="{01D8D94A-4C5D-44E8-A195-D41DEB2DABF3}"/>
    <dgm:cxn modelId="{21C18FBE-38F8-4F4C-A586-7435BBF5F356}" srcId="{0E0D5914-9733-4438-B53B-E54AED87BD25}" destId="{D5E38E4B-FED5-4A0A-B8AA-8728BED387A3}" srcOrd="1" destOrd="0" parTransId="{1182CA2F-4565-428E-AE54-DA4AC822DEC1}" sibTransId="{F08BBAFC-C54C-473A-A12D-0976EAD9F5B1}"/>
    <dgm:cxn modelId="{56F4D0BE-0ED8-4594-B6D7-DCDE4C6272FE}" srcId="{86AF350A-A785-4BDD-9C13-1E90196942B4}" destId="{95643014-9364-4ED7-A23C-11FF87634454}" srcOrd="0" destOrd="0" parTransId="{E0114C20-3A39-4242-9BD4-7E3A42C0079E}" sibTransId="{17FCF78A-6A89-4118-8006-45387E9866DB}"/>
    <dgm:cxn modelId="{ED5470C1-AB29-4CA6-AECE-4E0CA2253756}" type="presOf" srcId="{0B7A893D-34B0-412E-AAF0-3244FF37E62F}" destId="{D7E2BE4B-D731-4C2D-BA0A-37C902784000}" srcOrd="0" destOrd="0" presId="urn:microsoft.com/office/officeart/2005/8/layout/orgChart1"/>
    <dgm:cxn modelId="{AAB1BAC1-D077-48E7-9C2D-25DF86AB4463}" type="presOf" srcId="{304499FC-178F-457B-9D5B-07C633CC1703}" destId="{0E0991F3-3934-47BB-929B-D5CDA7641990}" srcOrd="0" destOrd="0" presId="urn:microsoft.com/office/officeart/2005/8/layout/orgChart1"/>
    <dgm:cxn modelId="{6495E3C4-3BDB-4AD3-8081-02B53DF7EEB4}" type="presOf" srcId="{03DF699C-3176-485E-B584-5BC85EC703ED}" destId="{7568918C-FAD7-4B9E-9AFD-52C33DE56813}" srcOrd="1" destOrd="0" presId="urn:microsoft.com/office/officeart/2005/8/layout/orgChart1"/>
    <dgm:cxn modelId="{D47AF2C4-C5C6-41E8-AF20-6AA1F2D1A0A0}" type="presOf" srcId="{809B22AA-EB2B-4C4F-82C3-E979FD4CF357}" destId="{D170E32D-A43F-4CAB-A215-C289F970862B}" srcOrd="0" destOrd="0" presId="urn:microsoft.com/office/officeart/2005/8/layout/orgChart1"/>
    <dgm:cxn modelId="{5CAF98C7-9507-44FC-847F-3F699DE3D3C1}" type="presOf" srcId="{86AF350A-A785-4BDD-9C13-1E90196942B4}" destId="{72AC346F-2F4E-444E-8C03-BD2A3B5A48DE}" srcOrd="0" destOrd="0" presId="urn:microsoft.com/office/officeart/2005/8/layout/orgChart1"/>
    <dgm:cxn modelId="{FCAD58C9-5B71-4F8F-A3A8-89272EB477CB}" srcId="{86AF350A-A785-4BDD-9C13-1E90196942B4}" destId="{EB3954B5-74F4-4D11-9DFF-EA78507987CB}" srcOrd="4" destOrd="0" parTransId="{DC6688E7-45CF-4D5C-9D56-6B7EDCF265A6}" sibTransId="{70FF2AC7-4C12-4FF5-B75D-B14A9D9AF54D}"/>
    <dgm:cxn modelId="{D43F14CA-EEE0-4EB3-BAA3-051DB173F46B}" srcId="{D5E38E4B-FED5-4A0A-B8AA-8728BED387A3}" destId="{917743FF-440D-4528-AB60-B28331E85D6A}" srcOrd="1" destOrd="0" parTransId="{B9C1F6B3-5F2B-4E62-8081-E4442A4A1FAD}" sibTransId="{735997C4-5873-4EEF-BF94-1C53F75DD8A4}"/>
    <dgm:cxn modelId="{65560AD0-6C88-43F5-B078-9CE9580210A9}" type="presOf" srcId="{622DEC80-7D3B-489F-A688-386A3BD66E46}" destId="{FB2DB3A0-B135-43F4-88C1-E9985DD92C2D}" srcOrd="0" destOrd="0" presId="urn:microsoft.com/office/officeart/2005/8/layout/orgChart1"/>
    <dgm:cxn modelId="{AC4424D0-8905-4F4D-A03E-744F87C17718}" type="presOf" srcId="{F26A6E32-5FBB-4CEF-BDB1-A0E805534581}" destId="{D7968CA6-A26B-43C5-9036-51384CB0A177}" srcOrd="0" destOrd="0" presId="urn:microsoft.com/office/officeart/2005/8/layout/orgChart1"/>
    <dgm:cxn modelId="{05578DD0-72FA-4B08-B907-FC8A62576561}" srcId="{141B889D-94F1-45C1-B73E-13B1197CCCF8}" destId="{1FA32465-79CA-43E4-925C-FD9E6E9DB5C8}" srcOrd="1" destOrd="0" parTransId="{88490267-DE7E-43ED-9BD4-B69E754A61AF}" sibTransId="{8D80A846-3714-4A60-AA9F-DC844391A49A}"/>
    <dgm:cxn modelId="{C708B5D0-C5FE-494F-9D5D-D9B5422D0437}" type="presOf" srcId="{D6F5CD79-D3E1-4B19-9C25-479267A00537}" destId="{6BAFA004-7462-4BB3-8CF7-8F0FAE532698}" srcOrd="0" destOrd="0" presId="urn:microsoft.com/office/officeart/2005/8/layout/orgChart1"/>
    <dgm:cxn modelId="{B8B231D3-F81B-43FC-B30C-11210BC39595}" type="presOf" srcId="{C025D0B3-3453-4AB2-8C0D-9A93251A872D}" destId="{86920179-6629-4A58-BB26-F9023C6AB676}" srcOrd="0" destOrd="0" presId="urn:microsoft.com/office/officeart/2005/8/layout/orgChart1"/>
    <dgm:cxn modelId="{C6FE6CD8-A901-422C-875C-5FBBBE15EF5E}" srcId="{8BB75C25-BB24-48E5-95A1-BDDD2AD67385}" destId="{D6F5CD79-D3E1-4B19-9C25-479267A00537}" srcOrd="0" destOrd="0" parTransId="{50F4CB47-0DB9-4B1E-9C75-49682DAC2BF7}" sibTransId="{A143E528-DC48-443B-967F-FB0FB6BA3C02}"/>
    <dgm:cxn modelId="{496F4ED8-D7F4-4E9A-B664-2745C8E9EB45}" type="presOf" srcId="{6EAA41E0-1525-42E3-A200-48C0FE921E72}" destId="{807FA1CB-C069-4A68-9F5B-ACB3D4C2C7E0}" srcOrd="0" destOrd="0" presId="urn:microsoft.com/office/officeart/2005/8/layout/orgChart1"/>
    <dgm:cxn modelId="{E5B87BD9-5758-4E57-A95E-B45A44873B71}" type="presOf" srcId="{025397C8-278A-4FB7-A986-A1B487EA1563}" destId="{0BF99F41-2B36-4860-856E-9B912562371F}" srcOrd="0" destOrd="0" presId="urn:microsoft.com/office/officeart/2005/8/layout/orgChart1"/>
    <dgm:cxn modelId="{0251C4D9-523C-45CA-9883-E36842905429}" srcId="{0E0D5914-9733-4438-B53B-E54AED87BD25}" destId="{D9DCBD92-CF2D-4FA3-9650-A94983E94475}" srcOrd="0" destOrd="0" parTransId="{8069AF01-BDAC-4439-9E0A-EA0793CC3F91}" sibTransId="{62C8F385-660A-4B36-9BB8-6E3C7FF1DC57}"/>
    <dgm:cxn modelId="{0A56C6DB-31EB-4084-BBA3-788918B1E116}" srcId="{0102E4FE-20A8-44CB-9044-37DB2019EEF7}" destId="{025397C8-278A-4FB7-A986-A1B487EA1563}" srcOrd="4" destOrd="0" parTransId="{E9CCBF3B-F7D4-491B-83ED-166AFDD5DD30}" sibTransId="{03B4767C-E8A0-48F5-82FB-BC0CE0CB73C2}"/>
    <dgm:cxn modelId="{DD8252DC-97BB-4DFF-98B1-5F9768B012B2}" srcId="{86AF350A-A785-4BDD-9C13-1E90196942B4}" destId="{0B7A893D-34B0-412E-AAF0-3244FF37E62F}" srcOrd="3" destOrd="0" parTransId="{2DEF8671-DD1F-49D2-9C9F-4553E51583D7}" sibTransId="{EBBEF2A1-4FE1-445D-81D1-191137E58D73}"/>
    <dgm:cxn modelId="{13CA32DD-DC61-4399-B2AE-5DF1F1C07AC5}" srcId="{E9EF6321-BDC6-43E1-A26E-2B9EACADF4BF}" destId="{845EDEF1-810E-4386-8221-52E9C18C5CE6}" srcOrd="3" destOrd="0" parTransId="{2E0B2EE9-BD0C-4324-BD85-48F7857284E2}" sibTransId="{BCB05A92-FB11-4534-9B93-2FFC51666E17}"/>
    <dgm:cxn modelId="{1240DDDD-8B67-4334-A46C-2E689CCFC01C}" type="presOf" srcId="{28D8B257-A9CA-4DEF-82EB-3BC9181A0F5A}" destId="{FE319937-70A2-4E60-A528-D283398BE2D1}" srcOrd="0" destOrd="0" presId="urn:microsoft.com/office/officeart/2005/8/layout/orgChart1"/>
    <dgm:cxn modelId="{4E0094DE-E0A5-4ED3-B5CD-D7B8E5C60C26}" srcId="{0E0D5914-9733-4438-B53B-E54AED87BD25}" destId="{28D8B257-A9CA-4DEF-82EB-3BC9181A0F5A}" srcOrd="2" destOrd="0" parTransId="{69F86B7A-C44C-44F2-8EB4-E2847C14540F}" sibTransId="{3052614E-E5C7-45FD-8E4C-52BA845585ED}"/>
    <dgm:cxn modelId="{8503C1DE-AC4F-49F5-A01D-D01C6B7949BF}" type="presOf" srcId="{9AC19E5E-60C4-4CCF-A20E-E4814BC2FE9B}" destId="{2B3E1A31-C7DC-446D-8815-E4813D3B56B4}" srcOrd="1" destOrd="0" presId="urn:microsoft.com/office/officeart/2005/8/layout/orgChart1"/>
    <dgm:cxn modelId="{9156A2E0-D475-46A0-8577-6C3A549E2BD9}" type="presOf" srcId="{0AE7F9E1-765F-489C-8C16-C7BC49A797D9}" destId="{1E535ECD-9FA0-4E48-A66D-29FFB2AB3B70}" srcOrd="0" destOrd="0" presId="urn:microsoft.com/office/officeart/2005/8/layout/orgChart1"/>
    <dgm:cxn modelId="{EC9DAEE1-D12B-4350-BB04-316ECFFAC86B}" type="presOf" srcId="{2F6409B2-2601-47E8-997C-C9D29C9A9177}" destId="{0338A758-AC60-4044-A1E3-08F8B7063D50}" srcOrd="0" destOrd="0" presId="urn:microsoft.com/office/officeart/2005/8/layout/orgChart1"/>
    <dgm:cxn modelId="{37BBD9E1-7D3D-4144-B35F-F19164A2F2AB}" type="presOf" srcId="{D5E38E4B-FED5-4A0A-B8AA-8728BED387A3}" destId="{4CB3CC10-420D-4678-B4A5-F650FAA65CFC}" srcOrd="0" destOrd="0" presId="urn:microsoft.com/office/officeart/2005/8/layout/orgChart1"/>
    <dgm:cxn modelId="{14C546E3-3C2E-474D-828F-11A57961D2DD}" srcId="{8D244D8F-C792-40BC-A511-7DE39E45E194}" destId="{6ED531EE-0BC7-4118-B43F-7D8D436633A8}" srcOrd="2" destOrd="0" parTransId="{D433E747-1E2C-41A0-B616-42B31870972F}" sibTransId="{9952C637-C4F1-4218-8E7E-3DE34073E216}"/>
    <dgm:cxn modelId="{E4EC70E3-9BE3-4283-968C-7E15BDAAF5E4}" type="presOf" srcId="{B7B3C6AE-DFBB-46A9-8CF1-A1BD803B9409}" destId="{AAF5925E-A439-4734-BFA7-0209F1E034E0}" srcOrd="0" destOrd="0" presId="urn:microsoft.com/office/officeart/2005/8/layout/orgChart1"/>
    <dgm:cxn modelId="{855872E4-9C5D-4F4C-B51A-10F359ADF7C3}" srcId="{0102E4FE-20A8-44CB-9044-37DB2019EEF7}" destId="{E9EF6321-BDC6-43E1-A26E-2B9EACADF4BF}" srcOrd="7" destOrd="0" parTransId="{5331C244-1A35-47AD-AE2D-510F978AF134}" sibTransId="{FAEB81D0-4BB1-465E-A407-26083478038F}"/>
    <dgm:cxn modelId="{F1E5D1E5-1268-475D-944D-33E806414ACD}" srcId="{4EDFDD96-7D03-4644-B893-2DE9B7516A86}" destId="{69233474-9CCA-431F-ADB6-8A9AC33B9697}" srcOrd="1" destOrd="0" parTransId="{622DEC80-7D3B-489F-A688-386A3BD66E46}" sibTransId="{FEF84970-9F64-4C23-B93E-C7AB8DAB57E9}"/>
    <dgm:cxn modelId="{C8A00AE6-2754-45B4-B7FD-2E466FCDDC07}" srcId="{E9EF6321-BDC6-43E1-A26E-2B9EACADF4BF}" destId="{CCF0DAF2-AEED-4084-8F6B-83AE3DFC303F}" srcOrd="2" destOrd="0" parTransId="{4D6B307A-4584-4EC4-BF8E-39534B90ABCA}" sibTransId="{0695C82D-A075-4FB0-A057-871E4C20D9B0}"/>
    <dgm:cxn modelId="{88E5DDE6-53F2-45A3-A07E-C98496C11EA3}" type="presOf" srcId="{F488A61D-44A8-43AF-8D4D-9D3A28823A7B}" destId="{1BDCF5C3-4938-4F7B-B883-DFE0EA2513F2}" srcOrd="0" destOrd="0" presId="urn:microsoft.com/office/officeart/2005/8/layout/orgChart1"/>
    <dgm:cxn modelId="{6DAB62E9-864C-4C9C-8886-EA5D51E3922B}" type="presOf" srcId="{8D244D8F-C792-40BC-A511-7DE39E45E194}" destId="{CFC31A14-C94F-4A30-A37D-372AB6BB600E}" srcOrd="1" destOrd="0" presId="urn:microsoft.com/office/officeart/2005/8/layout/orgChart1"/>
    <dgm:cxn modelId="{6653DBE9-E800-4E34-83B7-9A0F3EDEA357}" type="presOf" srcId="{2EA6147A-4097-4648-9D83-1C15EC3F6E1C}" destId="{6185FE85-F6F3-47C8-BC28-BFB1B081D47E}" srcOrd="0" destOrd="0" presId="urn:microsoft.com/office/officeart/2005/8/layout/orgChart1"/>
    <dgm:cxn modelId="{23928FEB-63DA-4568-BC9D-8F478395DBF1}" type="presOf" srcId="{2DEF8671-DD1F-49D2-9C9F-4553E51583D7}" destId="{B894DCF4-CFDB-4655-8C23-F6D06D7FB345}" srcOrd="0" destOrd="0" presId="urn:microsoft.com/office/officeart/2005/8/layout/orgChart1"/>
    <dgm:cxn modelId="{5EDD0FED-515D-4AA5-ADC5-288E1B30F747}" type="presOf" srcId="{16CD9583-BD21-4156-92D6-71CDB340D1AD}" destId="{4E82E1CF-9093-4966-8BDC-BA30B6523B53}" srcOrd="0" destOrd="0" presId="urn:microsoft.com/office/officeart/2005/8/layout/orgChart1"/>
    <dgm:cxn modelId="{B9E349F0-4F98-45DC-A283-F904DA4213BB}" type="presOf" srcId="{FDDB7EEE-AB02-47E4-B007-CB2A762CB7F9}" destId="{52777498-AA74-4FC2-849F-C626B27A45B4}" srcOrd="0" destOrd="0" presId="urn:microsoft.com/office/officeart/2005/8/layout/orgChart1"/>
    <dgm:cxn modelId="{92F2DEF2-629B-4230-8138-3DEF5A285113}" srcId="{0102E4FE-20A8-44CB-9044-37DB2019EEF7}" destId="{424E63FB-7A5E-47ED-BA8E-381C8BEA7B4D}" srcOrd="6" destOrd="0" parTransId="{EBA54DFC-7FC3-4D85-9BDE-4CD347E65E6C}" sibTransId="{2D9C3D49-28A1-4E2A-8676-8FA2D87A3E83}"/>
    <dgm:cxn modelId="{76AFFBF3-8B0F-4A64-A9A7-C2C918D2DDAB}" type="presOf" srcId="{0E0D5914-9733-4438-B53B-E54AED87BD25}" destId="{34D49AA9-33AD-4664-ADD5-58DB46EB9889}" srcOrd="0" destOrd="0" presId="urn:microsoft.com/office/officeart/2005/8/layout/orgChart1"/>
    <dgm:cxn modelId="{ACB5DCF4-1FA6-47F2-8A70-171FF15CE645}" type="presOf" srcId="{E5E9916D-2D7F-4C7A-A808-9D88F35BEC5A}" destId="{0B77889B-AAC5-42E4-AC09-1DCA681BCE85}" srcOrd="0" destOrd="0" presId="urn:microsoft.com/office/officeart/2005/8/layout/orgChart1"/>
    <dgm:cxn modelId="{E02A45F5-BE79-41F1-BEC6-9398AAF40E33}" type="presOf" srcId="{C2EFE54E-DDBB-4937-AAAF-B8E47F74D697}" destId="{042C9D99-30E8-4921-9EB9-EBE3CC59CEFA}" srcOrd="0" destOrd="0" presId="urn:microsoft.com/office/officeart/2005/8/layout/orgChart1"/>
    <dgm:cxn modelId="{AA07A1F6-0C48-4CB5-B06C-47ECA1DF8F78}" type="presOf" srcId="{E9CCBF3B-F7D4-491B-83ED-166AFDD5DD30}" destId="{58BDADBE-4402-4E6F-AB6F-E215C5F98D3B}" srcOrd="0" destOrd="0" presId="urn:microsoft.com/office/officeart/2005/8/layout/orgChart1"/>
    <dgm:cxn modelId="{2612AAF9-55D8-414F-B4D5-759315DA46EB}" type="presOf" srcId="{4EDFDD96-7D03-4644-B893-2DE9B7516A86}" destId="{77CF87DA-CCF2-4C68-A6A1-315D38F06E97}" srcOrd="1" destOrd="0" presId="urn:microsoft.com/office/officeart/2005/8/layout/orgChart1"/>
    <dgm:cxn modelId="{B17642FC-9DED-4CE8-BE3B-6D377205DBDA}" type="presOf" srcId="{6ED531EE-0BC7-4118-B43F-7D8D436633A8}" destId="{D3BF38C4-1821-483A-AF26-C595ECE3E4B8}" srcOrd="1" destOrd="0" presId="urn:microsoft.com/office/officeart/2005/8/layout/orgChart1"/>
    <dgm:cxn modelId="{6348E3FD-B00F-406B-A60D-F9F13394914D}" type="presOf" srcId="{C2E9E08C-C520-4750-9A46-099873830BC9}" destId="{C3AE13EC-AD65-415B-91FB-22FE48785A3E}" srcOrd="1" destOrd="0" presId="urn:microsoft.com/office/officeart/2005/8/layout/orgChart1"/>
    <dgm:cxn modelId="{E0D141FE-B156-4047-B481-09435D233CAE}" type="presOf" srcId="{B71ED880-875D-465D-A2D5-7EFCE170B8F3}" destId="{1E232AB8-93DE-4845-B58C-D44BE96A7024}" srcOrd="1" destOrd="0" presId="urn:microsoft.com/office/officeart/2005/8/layout/orgChart1"/>
    <dgm:cxn modelId="{A458D9FF-02BE-46BB-A088-C5A5D4DCC19A}" srcId="{0102E4FE-20A8-44CB-9044-37DB2019EEF7}" destId="{8BB75C25-BB24-48E5-95A1-BDDD2AD67385}" srcOrd="5" destOrd="0" parTransId="{3F1B0426-4EA2-44D9-B786-B19B57D5CDEA}" sibTransId="{287D1434-478B-40C7-839D-02EB6EAF6F1B}"/>
    <dgm:cxn modelId="{DD86D10E-AF37-47C1-942E-2072C3DEB604}" type="presParOf" srcId="{90431E3C-4F42-4628-B684-A96161BFF430}" destId="{0A189367-43EC-4441-BA08-750B899E9469}" srcOrd="0" destOrd="0" presId="urn:microsoft.com/office/officeart/2005/8/layout/orgChart1"/>
    <dgm:cxn modelId="{1E93ACAD-73CC-4251-B857-482C058E4D23}" type="presParOf" srcId="{0A189367-43EC-4441-BA08-750B899E9469}" destId="{360B80A0-E040-4231-A03C-DB4C44D4BEFB}" srcOrd="0" destOrd="0" presId="urn:microsoft.com/office/officeart/2005/8/layout/orgChart1"/>
    <dgm:cxn modelId="{B29628BB-39CB-4048-ADB6-DE7158A9B3DD}" type="presParOf" srcId="{360B80A0-E040-4231-A03C-DB4C44D4BEFB}" destId="{2D883808-430E-40D8-8B07-302E85302A34}" srcOrd="0" destOrd="0" presId="urn:microsoft.com/office/officeart/2005/8/layout/orgChart1"/>
    <dgm:cxn modelId="{9428FF49-B526-4D4E-B0A3-7F6A759986BE}" type="presParOf" srcId="{360B80A0-E040-4231-A03C-DB4C44D4BEFB}" destId="{9E54A725-AB28-4B64-8844-9F2951F2F7A0}" srcOrd="1" destOrd="0" presId="urn:microsoft.com/office/officeart/2005/8/layout/orgChart1"/>
    <dgm:cxn modelId="{F77FF77F-3BFF-472B-A120-140FB40B3538}" type="presParOf" srcId="{0A189367-43EC-4441-BA08-750B899E9469}" destId="{7F944FE0-D2A2-405B-BDFF-D1897631706E}" srcOrd="1" destOrd="0" presId="urn:microsoft.com/office/officeart/2005/8/layout/orgChart1"/>
    <dgm:cxn modelId="{4693DDC0-E7D2-4777-9786-DF6018EA28F2}" type="presParOf" srcId="{7F944FE0-D2A2-405B-BDFF-D1897631706E}" destId="{7BA6A4CA-F40E-4826-9E97-95062F5DD647}" srcOrd="0" destOrd="0" presId="urn:microsoft.com/office/officeart/2005/8/layout/orgChart1"/>
    <dgm:cxn modelId="{3951A4D8-10F5-4317-831E-24914A8C8A5E}" type="presParOf" srcId="{7F944FE0-D2A2-405B-BDFF-D1897631706E}" destId="{92667419-A898-4795-9C0E-361368D04859}" srcOrd="1" destOrd="0" presId="urn:microsoft.com/office/officeart/2005/8/layout/orgChart1"/>
    <dgm:cxn modelId="{3319D6B5-4267-4DF9-B702-2CADDD1C44C3}" type="presParOf" srcId="{92667419-A898-4795-9C0E-361368D04859}" destId="{AAE10948-D9BD-4DD1-83D8-C8238129D30B}" srcOrd="0" destOrd="0" presId="urn:microsoft.com/office/officeart/2005/8/layout/orgChart1"/>
    <dgm:cxn modelId="{9D8D8E9F-F4F4-4566-A625-08109AD62BFC}" type="presParOf" srcId="{AAE10948-D9BD-4DD1-83D8-C8238129D30B}" destId="{4C9AEEA8-806B-4221-A8CF-497F84C39D63}" srcOrd="0" destOrd="0" presId="urn:microsoft.com/office/officeart/2005/8/layout/orgChart1"/>
    <dgm:cxn modelId="{448E3435-43C6-4B1E-A7A4-4202A1A17AC0}" type="presParOf" srcId="{AAE10948-D9BD-4DD1-83D8-C8238129D30B}" destId="{CFC31A14-C94F-4A30-A37D-372AB6BB600E}" srcOrd="1" destOrd="0" presId="urn:microsoft.com/office/officeart/2005/8/layout/orgChart1"/>
    <dgm:cxn modelId="{3E69577F-8421-472A-84A9-060EBAF1B9C7}" type="presParOf" srcId="{92667419-A898-4795-9C0E-361368D04859}" destId="{CFE7259F-6958-4278-B532-D5FC1DF0D989}" srcOrd="1" destOrd="0" presId="urn:microsoft.com/office/officeart/2005/8/layout/orgChart1"/>
    <dgm:cxn modelId="{92C57947-AA1F-4264-8E4A-4473FDB2FC66}" type="presParOf" srcId="{CFE7259F-6958-4278-B532-D5FC1DF0D989}" destId="{0DBA4C10-E38C-4A57-BDCF-A02983AC86EA}" srcOrd="0" destOrd="0" presId="urn:microsoft.com/office/officeart/2005/8/layout/orgChart1"/>
    <dgm:cxn modelId="{D2303088-32E4-4076-B157-F667078A64AA}" type="presParOf" srcId="{CFE7259F-6958-4278-B532-D5FC1DF0D989}" destId="{F7237C1A-2CFF-4D51-9968-643427BC722B}" srcOrd="1" destOrd="0" presId="urn:microsoft.com/office/officeart/2005/8/layout/orgChart1"/>
    <dgm:cxn modelId="{1B91D049-CFE0-4A04-BFB2-192B800A48BF}" type="presParOf" srcId="{F7237C1A-2CFF-4D51-9968-643427BC722B}" destId="{1F57570A-EEE3-4AFE-93E6-A976FA9C51FD}" srcOrd="0" destOrd="0" presId="urn:microsoft.com/office/officeart/2005/8/layout/orgChart1"/>
    <dgm:cxn modelId="{13579F5B-A430-4773-B3CE-A8BF1D033602}" type="presParOf" srcId="{1F57570A-EEE3-4AFE-93E6-A976FA9C51FD}" destId="{9E9FE827-52A4-46D9-ADB2-E6FCF0B9E008}" srcOrd="0" destOrd="0" presId="urn:microsoft.com/office/officeart/2005/8/layout/orgChart1"/>
    <dgm:cxn modelId="{6824E510-CB83-4998-88EE-DA343B963E0D}" type="presParOf" srcId="{1F57570A-EEE3-4AFE-93E6-A976FA9C51FD}" destId="{45896F72-DCDE-404C-8364-99656B71FFED}" srcOrd="1" destOrd="0" presId="urn:microsoft.com/office/officeart/2005/8/layout/orgChart1"/>
    <dgm:cxn modelId="{9AE6D902-FA8B-4EFA-8B07-34E1167CE82E}" type="presParOf" srcId="{F7237C1A-2CFF-4D51-9968-643427BC722B}" destId="{09EFDB36-E5B0-4407-8281-5D4F42D16FE0}" srcOrd="1" destOrd="0" presId="urn:microsoft.com/office/officeart/2005/8/layout/orgChart1"/>
    <dgm:cxn modelId="{B72CBE39-3761-4186-9757-547D660ED334}" type="presParOf" srcId="{F7237C1A-2CFF-4D51-9968-643427BC722B}" destId="{2F132628-32FC-4EEB-A2B9-3E7324D5716F}" srcOrd="2" destOrd="0" presId="urn:microsoft.com/office/officeart/2005/8/layout/orgChart1"/>
    <dgm:cxn modelId="{FB8EBB5C-BB9B-4EE0-BBDB-A812C5B47B73}" type="presParOf" srcId="{CFE7259F-6958-4278-B532-D5FC1DF0D989}" destId="{7BD786B8-780D-4619-A5E3-357F0EDAE2E4}" srcOrd="2" destOrd="0" presId="urn:microsoft.com/office/officeart/2005/8/layout/orgChart1"/>
    <dgm:cxn modelId="{F2B0F6C6-5D11-4717-AD51-DC21E0E0FDCC}" type="presParOf" srcId="{CFE7259F-6958-4278-B532-D5FC1DF0D989}" destId="{FF449168-822C-418C-9CA1-B101D096CF90}" srcOrd="3" destOrd="0" presId="urn:microsoft.com/office/officeart/2005/8/layout/orgChart1"/>
    <dgm:cxn modelId="{7A95C7A7-F166-4435-8524-D112D1C51058}" type="presParOf" srcId="{FF449168-822C-418C-9CA1-B101D096CF90}" destId="{FDC422C0-CC05-449C-8033-C172FF181AD5}" srcOrd="0" destOrd="0" presId="urn:microsoft.com/office/officeart/2005/8/layout/orgChart1"/>
    <dgm:cxn modelId="{87F3A19B-9510-4B22-BD74-3F8E16C612A2}" type="presParOf" srcId="{FDC422C0-CC05-449C-8033-C172FF181AD5}" destId="{CF1CE0D6-2000-45B7-B412-882350AF6F25}" srcOrd="0" destOrd="0" presId="urn:microsoft.com/office/officeart/2005/8/layout/orgChart1"/>
    <dgm:cxn modelId="{CE725E7F-E97F-4769-9757-7875746F2730}" type="presParOf" srcId="{FDC422C0-CC05-449C-8033-C172FF181AD5}" destId="{E332D8F5-24D1-438A-A88D-967661A9895B}" srcOrd="1" destOrd="0" presId="urn:microsoft.com/office/officeart/2005/8/layout/orgChart1"/>
    <dgm:cxn modelId="{46CAE1E2-D097-4A2D-AEBD-7946148C8D66}" type="presParOf" srcId="{FF449168-822C-418C-9CA1-B101D096CF90}" destId="{0945C784-5EB4-4170-B227-C25054AACF2B}" srcOrd="1" destOrd="0" presId="urn:microsoft.com/office/officeart/2005/8/layout/orgChart1"/>
    <dgm:cxn modelId="{4F0F4A25-14B4-4E5E-B3BF-6AE7E5F7047F}" type="presParOf" srcId="{FF449168-822C-418C-9CA1-B101D096CF90}" destId="{795D698A-1823-4D67-A0CE-2685E9EB05B4}" srcOrd="2" destOrd="0" presId="urn:microsoft.com/office/officeart/2005/8/layout/orgChart1"/>
    <dgm:cxn modelId="{B65C7E39-C1DF-4A36-8AC5-5269D799ECD7}" type="presParOf" srcId="{CFE7259F-6958-4278-B532-D5FC1DF0D989}" destId="{A210511E-8313-4F28-990A-429088BA3B3F}" srcOrd="4" destOrd="0" presId="urn:microsoft.com/office/officeart/2005/8/layout/orgChart1"/>
    <dgm:cxn modelId="{2FD47871-0EE8-454E-9FDF-35D4E38A03A1}" type="presParOf" srcId="{CFE7259F-6958-4278-B532-D5FC1DF0D989}" destId="{662A03C9-0D7D-4233-877E-650105F68909}" srcOrd="5" destOrd="0" presId="urn:microsoft.com/office/officeart/2005/8/layout/orgChart1"/>
    <dgm:cxn modelId="{717622EB-4B37-4509-BDF8-21A32FD58F75}" type="presParOf" srcId="{662A03C9-0D7D-4233-877E-650105F68909}" destId="{3F4608E4-44E4-4C09-98F7-7A5196AC4942}" srcOrd="0" destOrd="0" presId="urn:microsoft.com/office/officeart/2005/8/layout/orgChart1"/>
    <dgm:cxn modelId="{FB118571-51EC-4685-9A78-B90201057D30}" type="presParOf" srcId="{3F4608E4-44E4-4C09-98F7-7A5196AC4942}" destId="{422A5DCC-F310-4179-AC5C-3A5AA9AB3509}" srcOrd="0" destOrd="0" presId="urn:microsoft.com/office/officeart/2005/8/layout/orgChart1"/>
    <dgm:cxn modelId="{F9F72142-DEFA-419A-9933-23F734DCCCAD}" type="presParOf" srcId="{3F4608E4-44E4-4C09-98F7-7A5196AC4942}" destId="{D3BF38C4-1821-483A-AF26-C595ECE3E4B8}" srcOrd="1" destOrd="0" presId="urn:microsoft.com/office/officeart/2005/8/layout/orgChart1"/>
    <dgm:cxn modelId="{F5D381B2-A1BB-4210-82DA-C366CD92E499}" type="presParOf" srcId="{662A03C9-0D7D-4233-877E-650105F68909}" destId="{1A67025E-7A13-4535-954B-C51FC9C3959C}" srcOrd="1" destOrd="0" presId="urn:microsoft.com/office/officeart/2005/8/layout/orgChart1"/>
    <dgm:cxn modelId="{9527FBA6-DE1F-40FE-9093-AD67C3FBC6A2}" type="presParOf" srcId="{662A03C9-0D7D-4233-877E-650105F68909}" destId="{F58C77E7-E7F0-45FB-BD57-CF2EA3EB7FD9}" srcOrd="2" destOrd="0" presId="urn:microsoft.com/office/officeart/2005/8/layout/orgChart1"/>
    <dgm:cxn modelId="{FD4029A7-75E1-4894-8B83-D92065A05607}" type="presParOf" srcId="{92667419-A898-4795-9C0E-361368D04859}" destId="{529C72D2-9829-43B0-839C-5E27E8D16E0A}" srcOrd="2" destOrd="0" presId="urn:microsoft.com/office/officeart/2005/8/layout/orgChart1"/>
    <dgm:cxn modelId="{14A1A8D1-9BC8-428E-BD6A-B8C45445FC69}" type="presParOf" srcId="{7F944FE0-D2A2-405B-BDFF-D1897631706E}" destId="{3CD38DC8-3D55-42DE-AD09-72BD953ED7FB}" srcOrd="2" destOrd="0" presId="urn:microsoft.com/office/officeart/2005/8/layout/orgChart1"/>
    <dgm:cxn modelId="{0FD5E4D4-1739-4D83-BB35-71CAFDAFB81E}" type="presParOf" srcId="{7F944FE0-D2A2-405B-BDFF-D1897631706E}" destId="{596C2A0E-FAAA-4C19-8F64-3F40373672C6}" srcOrd="3" destOrd="0" presId="urn:microsoft.com/office/officeart/2005/8/layout/orgChart1"/>
    <dgm:cxn modelId="{683610BC-2FB1-43E3-B55C-8A244A1BD861}" type="presParOf" srcId="{596C2A0E-FAAA-4C19-8F64-3F40373672C6}" destId="{E1CC195C-D0F1-48C8-A703-25242680FC8E}" srcOrd="0" destOrd="0" presId="urn:microsoft.com/office/officeart/2005/8/layout/orgChart1"/>
    <dgm:cxn modelId="{6075DF83-D28E-44F5-8430-DAC1A8842A87}" type="presParOf" srcId="{E1CC195C-D0F1-48C8-A703-25242680FC8E}" destId="{D170E32D-A43F-4CAB-A215-C289F970862B}" srcOrd="0" destOrd="0" presId="urn:microsoft.com/office/officeart/2005/8/layout/orgChart1"/>
    <dgm:cxn modelId="{78D5ED16-C0E8-4166-A7B4-9093264A1C13}" type="presParOf" srcId="{E1CC195C-D0F1-48C8-A703-25242680FC8E}" destId="{18E317F2-7CF2-4DFD-9CA0-4A1E8C4ACD68}" srcOrd="1" destOrd="0" presId="urn:microsoft.com/office/officeart/2005/8/layout/orgChart1"/>
    <dgm:cxn modelId="{4F2C3B68-2D3F-49E8-9AD0-EC7528E0CC48}" type="presParOf" srcId="{596C2A0E-FAAA-4C19-8F64-3F40373672C6}" destId="{C4D3DF99-A745-4C02-9204-B9053A10435D}" srcOrd="1" destOrd="0" presId="urn:microsoft.com/office/officeart/2005/8/layout/orgChart1"/>
    <dgm:cxn modelId="{AC359EA7-27E4-46FA-A61B-A79DB5D2B153}" type="presParOf" srcId="{C4D3DF99-A745-4C02-9204-B9053A10435D}" destId="{B935FBDA-E2AB-49CA-8CF4-754257839CD4}" srcOrd="0" destOrd="0" presId="urn:microsoft.com/office/officeart/2005/8/layout/orgChart1"/>
    <dgm:cxn modelId="{1342A516-3A83-4BBC-B42D-F5C5ADA3C237}" type="presParOf" srcId="{C4D3DF99-A745-4C02-9204-B9053A10435D}" destId="{7E32E146-A64A-4070-B7C5-30A5B73717C1}" srcOrd="1" destOrd="0" presId="urn:microsoft.com/office/officeart/2005/8/layout/orgChart1"/>
    <dgm:cxn modelId="{A9BD9FDE-1F37-47BA-9F06-11D36612FF8B}" type="presParOf" srcId="{7E32E146-A64A-4070-B7C5-30A5B73717C1}" destId="{94CCBCF2-D29F-4CE4-9F38-9A0619F3E636}" srcOrd="0" destOrd="0" presId="urn:microsoft.com/office/officeart/2005/8/layout/orgChart1"/>
    <dgm:cxn modelId="{F494062A-C7FB-49A7-ADA3-9A4E5B7B8BAE}" type="presParOf" srcId="{94CCBCF2-D29F-4CE4-9F38-9A0619F3E636}" destId="{8D28DA9C-651E-493C-AEB4-8DE7C4670A76}" srcOrd="0" destOrd="0" presId="urn:microsoft.com/office/officeart/2005/8/layout/orgChart1"/>
    <dgm:cxn modelId="{CA4EBAD4-EEAF-4E3A-8D2E-B39A38F0889B}" type="presParOf" srcId="{94CCBCF2-D29F-4CE4-9F38-9A0619F3E636}" destId="{CAC4091A-492F-459B-840C-5F8135FD499F}" srcOrd="1" destOrd="0" presId="urn:microsoft.com/office/officeart/2005/8/layout/orgChart1"/>
    <dgm:cxn modelId="{5B2F94E3-D960-4DDC-A12E-15093E190912}" type="presParOf" srcId="{7E32E146-A64A-4070-B7C5-30A5B73717C1}" destId="{3F86CAF0-921B-456C-9C30-B205CF6EDFAB}" srcOrd="1" destOrd="0" presId="urn:microsoft.com/office/officeart/2005/8/layout/orgChart1"/>
    <dgm:cxn modelId="{28E323D8-20F0-4C67-9B84-479D830BDAFD}" type="presParOf" srcId="{3F86CAF0-921B-456C-9C30-B205CF6EDFAB}" destId="{AAF5925E-A439-4734-BFA7-0209F1E034E0}" srcOrd="0" destOrd="0" presId="urn:microsoft.com/office/officeart/2005/8/layout/orgChart1"/>
    <dgm:cxn modelId="{F703F49D-E6B3-4B34-AFA9-068C6CAC520A}" type="presParOf" srcId="{3F86CAF0-921B-456C-9C30-B205CF6EDFAB}" destId="{E4ACDD6B-0637-4F25-B692-478DE4CD1E8A}" srcOrd="1" destOrd="0" presId="urn:microsoft.com/office/officeart/2005/8/layout/orgChart1"/>
    <dgm:cxn modelId="{76E3BE23-B810-4761-BCB8-4910B0CF770A}" type="presParOf" srcId="{E4ACDD6B-0637-4F25-B692-478DE4CD1E8A}" destId="{D26411F1-3269-4B53-8632-15971C6AADE7}" srcOrd="0" destOrd="0" presId="urn:microsoft.com/office/officeart/2005/8/layout/orgChart1"/>
    <dgm:cxn modelId="{F477EF00-98C3-4FB2-92E6-1493FF30501F}" type="presParOf" srcId="{D26411F1-3269-4B53-8632-15971C6AADE7}" destId="{72AC346F-2F4E-444E-8C03-BD2A3B5A48DE}" srcOrd="0" destOrd="0" presId="urn:microsoft.com/office/officeart/2005/8/layout/orgChart1"/>
    <dgm:cxn modelId="{DF4ACFAD-5598-4383-AC78-B631683D50D0}" type="presParOf" srcId="{D26411F1-3269-4B53-8632-15971C6AADE7}" destId="{61BD3AC5-6CF6-4CA9-B7DA-7A4EF7D20243}" srcOrd="1" destOrd="0" presId="urn:microsoft.com/office/officeart/2005/8/layout/orgChart1"/>
    <dgm:cxn modelId="{0B357764-C865-405A-95C1-641FB537BA16}" type="presParOf" srcId="{E4ACDD6B-0637-4F25-B692-478DE4CD1E8A}" destId="{417D4C16-6F47-45C2-BFA4-54B9F621B68C}" srcOrd="1" destOrd="0" presId="urn:microsoft.com/office/officeart/2005/8/layout/orgChart1"/>
    <dgm:cxn modelId="{31F95963-53D8-423D-86CD-3EE818DC740E}" type="presParOf" srcId="{417D4C16-6F47-45C2-BFA4-54B9F621B68C}" destId="{6E904246-481F-4578-AD91-764D29E6D564}" srcOrd="0" destOrd="0" presId="urn:microsoft.com/office/officeart/2005/8/layout/orgChart1"/>
    <dgm:cxn modelId="{E906D7A0-E608-42F1-B765-7EE29899E8FE}" type="presParOf" srcId="{417D4C16-6F47-45C2-BFA4-54B9F621B68C}" destId="{3F7226FF-427D-42A9-8B80-A751CA140B09}" srcOrd="1" destOrd="0" presId="urn:microsoft.com/office/officeart/2005/8/layout/orgChart1"/>
    <dgm:cxn modelId="{88541657-6404-42C4-8577-981CA9455324}" type="presParOf" srcId="{3F7226FF-427D-42A9-8B80-A751CA140B09}" destId="{0A246336-23C1-4668-9722-4DF692D3DE4E}" srcOrd="0" destOrd="0" presId="urn:microsoft.com/office/officeart/2005/8/layout/orgChart1"/>
    <dgm:cxn modelId="{99AD6A02-D375-4A03-B02D-75ACE5D19FBC}" type="presParOf" srcId="{0A246336-23C1-4668-9722-4DF692D3DE4E}" destId="{3C105CD6-BA5F-4296-9ADF-C21FEB294665}" srcOrd="0" destOrd="0" presId="urn:microsoft.com/office/officeart/2005/8/layout/orgChart1"/>
    <dgm:cxn modelId="{45DE90E5-1ADB-4130-8837-E20724DAE165}" type="presParOf" srcId="{0A246336-23C1-4668-9722-4DF692D3DE4E}" destId="{385FC982-988E-4302-98BB-D7460D5505EC}" srcOrd="1" destOrd="0" presId="urn:microsoft.com/office/officeart/2005/8/layout/orgChart1"/>
    <dgm:cxn modelId="{6935D97D-4F7F-4B43-B08E-96674ABBDFED}" type="presParOf" srcId="{3F7226FF-427D-42A9-8B80-A751CA140B09}" destId="{FDB3ABF0-E8E8-4CD0-853A-E48F1654371B}" srcOrd="1" destOrd="0" presId="urn:microsoft.com/office/officeart/2005/8/layout/orgChart1"/>
    <dgm:cxn modelId="{AB7B6F7E-7C05-4FA5-9743-9665AF170A92}" type="presParOf" srcId="{3F7226FF-427D-42A9-8B80-A751CA140B09}" destId="{ECAD813E-F69E-4493-8464-0EFC6AD53AB3}" srcOrd="2" destOrd="0" presId="urn:microsoft.com/office/officeart/2005/8/layout/orgChart1"/>
    <dgm:cxn modelId="{1BE427B8-618D-4558-9E26-A9B0762E7960}" type="presParOf" srcId="{417D4C16-6F47-45C2-BFA4-54B9F621B68C}" destId="{2BE8EFB2-4965-4609-B1C2-1F507D9025F0}" srcOrd="2" destOrd="0" presId="urn:microsoft.com/office/officeart/2005/8/layout/orgChart1"/>
    <dgm:cxn modelId="{CC83812A-35CA-4D76-AD36-B93EA2183503}" type="presParOf" srcId="{417D4C16-6F47-45C2-BFA4-54B9F621B68C}" destId="{F775338A-84A5-49A8-AF6A-9BA8BA981152}" srcOrd="3" destOrd="0" presId="urn:microsoft.com/office/officeart/2005/8/layout/orgChart1"/>
    <dgm:cxn modelId="{0BD1BE27-B5F2-43AB-B7BD-BE6CCD02990E}" type="presParOf" srcId="{F775338A-84A5-49A8-AF6A-9BA8BA981152}" destId="{A9AA2BB9-9808-4E50-B65D-A1D192D8B270}" srcOrd="0" destOrd="0" presId="urn:microsoft.com/office/officeart/2005/8/layout/orgChart1"/>
    <dgm:cxn modelId="{1F39AC2A-1752-4566-8E35-A46C5D2AED30}" type="presParOf" srcId="{A9AA2BB9-9808-4E50-B65D-A1D192D8B270}" destId="{539C43EC-88FB-4101-BFC8-2FBEBDCB1CFF}" srcOrd="0" destOrd="0" presId="urn:microsoft.com/office/officeart/2005/8/layout/orgChart1"/>
    <dgm:cxn modelId="{759AB5B8-F524-47CC-A7DA-00C3532AB2E3}" type="presParOf" srcId="{A9AA2BB9-9808-4E50-B65D-A1D192D8B270}" destId="{37EBA9EA-1D7F-4485-92CD-286075E5D657}" srcOrd="1" destOrd="0" presId="urn:microsoft.com/office/officeart/2005/8/layout/orgChart1"/>
    <dgm:cxn modelId="{55236C69-F81F-4269-AA33-CFE591093C6E}" type="presParOf" srcId="{F775338A-84A5-49A8-AF6A-9BA8BA981152}" destId="{57E2BC50-0927-4908-AF16-2DC1A7ABAA91}" srcOrd="1" destOrd="0" presId="urn:microsoft.com/office/officeart/2005/8/layout/orgChart1"/>
    <dgm:cxn modelId="{E8D10900-62A2-4928-B07B-2249DBE6FA1E}" type="presParOf" srcId="{F775338A-84A5-49A8-AF6A-9BA8BA981152}" destId="{7122834D-968C-4F51-82BF-8F187CEE81CA}" srcOrd="2" destOrd="0" presId="urn:microsoft.com/office/officeart/2005/8/layout/orgChart1"/>
    <dgm:cxn modelId="{8E6E4E64-3573-4D30-B74B-3B6894A004C9}" type="presParOf" srcId="{417D4C16-6F47-45C2-BFA4-54B9F621B68C}" destId="{B03BF5AB-02EB-4D85-9282-46894415A7C4}" srcOrd="4" destOrd="0" presId="urn:microsoft.com/office/officeart/2005/8/layout/orgChart1"/>
    <dgm:cxn modelId="{531C8F46-FDD4-4B78-B0C9-66E182A3449D}" type="presParOf" srcId="{417D4C16-6F47-45C2-BFA4-54B9F621B68C}" destId="{4EA350DD-0CE0-4931-8C0F-DBE036A1099D}" srcOrd="5" destOrd="0" presId="urn:microsoft.com/office/officeart/2005/8/layout/orgChart1"/>
    <dgm:cxn modelId="{2471F6DB-F53B-4FEB-B6FA-00FD522AE346}" type="presParOf" srcId="{4EA350DD-0CE0-4931-8C0F-DBE036A1099D}" destId="{CD2F0EF6-63DD-4908-8B36-685448BC48E8}" srcOrd="0" destOrd="0" presId="urn:microsoft.com/office/officeart/2005/8/layout/orgChart1"/>
    <dgm:cxn modelId="{E476D255-0326-4CC1-A6CB-9A501002E4F7}" type="presParOf" srcId="{CD2F0EF6-63DD-4908-8B36-685448BC48E8}" destId="{042C9D99-30E8-4921-9EB9-EBE3CC59CEFA}" srcOrd="0" destOrd="0" presId="urn:microsoft.com/office/officeart/2005/8/layout/orgChart1"/>
    <dgm:cxn modelId="{2E05D8FB-BDF4-43F1-AE77-EB0ECF966A1A}" type="presParOf" srcId="{CD2F0EF6-63DD-4908-8B36-685448BC48E8}" destId="{3EDBFA9C-F817-479F-9192-D74217624230}" srcOrd="1" destOrd="0" presId="urn:microsoft.com/office/officeart/2005/8/layout/orgChart1"/>
    <dgm:cxn modelId="{8C2A5AD2-9970-4489-B790-D0F766CFAD7E}" type="presParOf" srcId="{4EA350DD-0CE0-4931-8C0F-DBE036A1099D}" destId="{B4F1833F-49EE-4B21-B613-A1E34BCE673C}" srcOrd="1" destOrd="0" presId="urn:microsoft.com/office/officeart/2005/8/layout/orgChart1"/>
    <dgm:cxn modelId="{7A95F00B-EFA0-474E-8E75-E5BEFD19B5EB}" type="presParOf" srcId="{4EA350DD-0CE0-4931-8C0F-DBE036A1099D}" destId="{7B2A69D4-674A-4532-8C2D-F390A2FA9622}" srcOrd="2" destOrd="0" presId="urn:microsoft.com/office/officeart/2005/8/layout/orgChart1"/>
    <dgm:cxn modelId="{9846C9A2-C25B-4A7E-8766-DD4A212CB05C}" type="presParOf" srcId="{417D4C16-6F47-45C2-BFA4-54B9F621B68C}" destId="{B894DCF4-CFDB-4655-8C23-F6D06D7FB345}" srcOrd="6" destOrd="0" presId="urn:microsoft.com/office/officeart/2005/8/layout/orgChart1"/>
    <dgm:cxn modelId="{12F2EF62-5D93-4BA3-BB32-28747AEE9BDE}" type="presParOf" srcId="{417D4C16-6F47-45C2-BFA4-54B9F621B68C}" destId="{BA7890AD-C28B-4184-A8D6-6EDBD113CB8A}" srcOrd="7" destOrd="0" presId="urn:microsoft.com/office/officeart/2005/8/layout/orgChart1"/>
    <dgm:cxn modelId="{808292CB-6152-49D4-9712-46802CAE5B92}" type="presParOf" srcId="{BA7890AD-C28B-4184-A8D6-6EDBD113CB8A}" destId="{C7694567-091A-4EF9-A3C2-2AF6B9A0305A}" srcOrd="0" destOrd="0" presId="urn:microsoft.com/office/officeart/2005/8/layout/orgChart1"/>
    <dgm:cxn modelId="{79081135-4113-4577-85D8-0A5F635EEC26}" type="presParOf" srcId="{C7694567-091A-4EF9-A3C2-2AF6B9A0305A}" destId="{D7E2BE4B-D731-4C2D-BA0A-37C902784000}" srcOrd="0" destOrd="0" presId="urn:microsoft.com/office/officeart/2005/8/layout/orgChart1"/>
    <dgm:cxn modelId="{8B96DA65-83F8-4DD4-8921-F61BA761C4D7}" type="presParOf" srcId="{C7694567-091A-4EF9-A3C2-2AF6B9A0305A}" destId="{9DEDF8A8-C04F-4AC1-8A19-9C5D980141EF}" srcOrd="1" destOrd="0" presId="urn:microsoft.com/office/officeart/2005/8/layout/orgChart1"/>
    <dgm:cxn modelId="{252289A3-3DFB-4926-B0B7-D6CDA7EC30AF}" type="presParOf" srcId="{BA7890AD-C28B-4184-A8D6-6EDBD113CB8A}" destId="{1DE648D8-AE03-4D1A-A2BC-9B57B681966C}" srcOrd="1" destOrd="0" presId="urn:microsoft.com/office/officeart/2005/8/layout/orgChart1"/>
    <dgm:cxn modelId="{4311F230-6793-4D7A-926F-118DCEF8599B}" type="presParOf" srcId="{BA7890AD-C28B-4184-A8D6-6EDBD113CB8A}" destId="{100DADC4-F030-4864-A9B4-A0917383493F}" srcOrd="2" destOrd="0" presId="urn:microsoft.com/office/officeart/2005/8/layout/orgChart1"/>
    <dgm:cxn modelId="{0F6E4012-374C-4450-8F48-BABF154EDB41}" type="presParOf" srcId="{417D4C16-6F47-45C2-BFA4-54B9F621B68C}" destId="{8361F233-B12E-43F6-BC39-A98D94AE39A7}" srcOrd="8" destOrd="0" presId="urn:microsoft.com/office/officeart/2005/8/layout/orgChart1"/>
    <dgm:cxn modelId="{6EE47D9D-25A0-45B3-86B1-28C264EC0BD8}" type="presParOf" srcId="{417D4C16-6F47-45C2-BFA4-54B9F621B68C}" destId="{DE9A41E4-3923-40A4-9CC8-1B1A5C09A77A}" srcOrd="9" destOrd="0" presId="urn:microsoft.com/office/officeart/2005/8/layout/orgChart1"/>
    <dgm:cxn modelId="{6687AA9E-54AC-4331-89BD-3861E77B7680}" type="presParOf" srcId="{DE9A41E4-3923-40A4-9CC8-1B1A5C09A77A}" destId="{B7719617-0E46-40B1-ADB6-32270E389581}" srcOrd="0" destOrd="0" presId="urn:microsoft.com/office/officeart/2005/8/layout/orgChart1"/>
    <dgm:cxn modelId="{6B044D66-620D-4CC8-A935-B6F95C60F6A2}" type="presParOf" srcId="{B7719617-0E46-40B1-ADB6-32270E389581}" destId="{85AD923B-4E2C-411D-9E05-6D278E6E3C31}" srcOrd="0" destOrd="0" presId="urn:microsoft.com/office/officeart/2005/8/layout/orgChart1"/>
    <dgm:cxn modelId="{0BEE9549-3807-486E-8264-35A71754E3D3}" type="presParOf" srcId="{B7719617-0E46-40B1-ADB6-32270E389581}" destId="{C9DB3AA9-5EBE-4CDD-923A-16B2DED554F2}" srcOrd="1" destOrd="0" presId="urn:microsoft.com/office/officeart/2005/8/layout/orgChart1"/>
    <dgm:cxn modelId="{9D1AEDD5-0135-464E-A6C1-6CC8DADD07DD}" type="presParOf" srcId="{DE9A41E4-3923-40A4-9CC8-1B1A5C09A77A}" destId="{5B4607DF-B053-49BD-89A1-C23BB12F949D}" srcOrd="1" destOrd="0" presId="urn:microsoft.com/office/officeart/2005/8/layout/orgChart1"/>
    <dgm:cxn modelId="{0AB0E9AF-5101-415D-8459-077E559A802F}" type="presParOf" srcId="{DE9A41E4-3923-40A4-9CC8-1B1A5C09A77A}" destId="{2D502DF0-43F9-4645-90C9-9E29C2A8A8BF}" srcOrd="2" destOrd="0" presId="urn:microsoft.com/office/officeart/2005/8/layout/orgChart1"/>
    <dgm:cxn modelId="{0A6D625F-1DF8-4AAF-AFA9-D987951CB9F0}" type="presParOf" srcId="{E4ACDD6B-0637-4F25-B692-478DE4CD1E8A}" destId="{A304A998-311C-42E3-BC67-14561F45BC79}" srcOrd="2" destOrd="0" presId="urn:microsoft.com/office/officeart/2005/8/layout/orgChart1"/>
    <dgm:cxn modelId="{10F551E2-EEE3-4C8F-9D63-2AFE683526C4}" type="presParOf" srcId="{7E32E146-A64A-4070-B7C5-30A5B73717C1}" destId="{45AC5175-69A5-4135-B79C-12AD4A58E1A7}" srcOrd="2" destOrd="0" presId="urn:microsoft.com/office/officeart/2005/8/layout/orgChart1"/>
    <dgm:cxn modelId="{CC63E2D5-C1A1-4079-AED7-824C1802B9E6}" type="presParOf" srcId="{596C2A0E-FAAA-4C19-8F64-3F40373672C6}" destId="{8F47595E-1F20-4F5E-BE70-5CDDFE438157}" srcOrd="2" destOrd="0" presId="urn:microsoft.com/office/officeart/2005/8/layout/orgChart1"/>
    <dgm:cxn modelId="{E0590D61-C16B-4BC8-AE20-E51B9121193B}" type="presParOf" srcId="{7F944FE0-D2A2-405B-BDFF-D1897631706E}" destId="{146AE877-ED15-459B-B13B-AF077FBB1040}" srcOrd="4" destOrd="0" presId="urn:microsoft.com/office/officeart/2005/8/layout/orgChart1"/>
    <dgm:cxn modelId="{6C34EBB2-78DA-4600-9AB7-3AC84F832DFB}" type="presParOf" srcId="{7F944FE0-D2A2-405B-BDFF-D1897631706E}" destId="{D8BE7065-D2EC-4787-8FFC-B61F79EEC39D}" srcOrd="5" destOrd="0" presId="urn:microsoft.com/office/officeart/2005/8/layout/orgChart1"/>
    <dgm:cxn modelId="{CF6C9393-DD55-4A46-A0D3-226BC63F8D75}" type="presParOf" srcId="{D8BE7065-D2EC-4787-8FFC-B61F79EEC39D}" destId="{71363FA2-6923-417F-B55E-201974467DF6}" srcOrd="0" destOrd="0" presId="urn:microsoft.com/office/officeart/2005/8/layout/orgChart1"/>
    <dgm:cxn modelId="{A147F552-7B0C-4D28-86EF-0886CC8E5CC9}" type="presParOf" srcId="{71363FA2-6923-417F-B55E-201974467DF6}" destId="{5368EF9E-E26F-497A-B704-8C2CE5D835FD}" srcOrd="0" destOrd="0" presId="urn:microsoft.com/office/officeart/2005/8/layout/orgChart1"/>
    <dgm:cxn modelId="{2E2F2C95-E1AA-4702-9CC7-2C8AF2FD0D18}" type="presParOf" srcId="{71363FA2-6923-417F-B55E-201974467DF6}" destId="{05AACB28-368C-4D12-A4D8-69764BDEC4D2}" srcOrd="1" destOrd="0" presId="urn:microsoft.com/office/officeart/2005/8/layout/orgChart1"/>
    <dgm:cxn modelId="{9D4C8DE5-E41A-490F-AE8C-ECEA8661679B}" type="presParOf" srcId="{D8BE7065-D2EC-4787-8FFC-B61F79EEC39D}" destId="{6EB25563-D21F-483B-A064-03B79922792B}" srcOrd="1" destOrd="0" presId="urn:microsoft.com/office/officeart/2005/8/layout/orgChart1"/>
    <dgm:cxn modelId="{FCACB6CF-0856-41F2-99D0-60169CA18864}" type="presParOf" srcId="{6EB25563-D21F-483B-A064-03B79922792B}" destId="{1BDCF5C3-4938-4F7B-B883-DFE0EA2513F2}" srcOrd="0" destOrd="0" presId="urn:microsoft.com/office/officeart/2005/8/layout/orgChart1"/>
    <dgm:cxn modelId="{EBA0C046-D5FE-498E-9E51-36248CE2BC2B}" type="presParOf" srcId="{6EB25563-D21F-483B-A064-03B79922792B}" destId="{D51C4435-04F6-4D3A-8AC9-28DE1618776D}" srcOrd="1" destOrd="0" presId="urn:microsoft.com/office/officeart/2005/8/layout/orgChart1"/>
    <dgm:cxn modelId="{F60FD299-4B5A-4A70-9EA8-DAFC0CB1B63E}" type="presParOf" srcId="{D51C4435-04F6-4D3A-8AC9-28DE1618776D}" destId="{C8C3FF62-3F59-4D84-9B88-D6D2C6D0965C}" srcOrd="0" destOrd="0" presId="urn:microsoft.com/office/officeart/2005/8/layout/orgChart1"/>
    <dgm:cxn modelId="{6F5CF18C-F0B1-4F97-B5D1-2FC53309FE35}" type="presParOf" srcId="{C8C3FF62-3F59-4D84-9B88-D6D2C6D0965C}" destId="{3CB81659-FE3C-423B-9CBD-B42FC5FE3EA0}" srcOrd="0" destOrd="0" presId="urn:microsoft.com/office/officeart/2005/8/layout/orgChart1"/>
    <dgm:cxn modelId="{F4704150-7AC5-4E2A-9A46-AFBC93622FD8}" type="presParOf" srcId="{C8C3FF62-3F59-4D84-9B88-D6D2C6D0965C}" destId="{77CF87DA-CCF2-4C68-A6A1-315D38F06E97}" srcOrd="1" destOrd="0" presId="urn:microsoft.com/office/officeart/2005/8/layout/orgChart1"/>
    <dgm:cxn modelId="{9174DE7A-C1FF-464B-85FA-EE303A091CC3}" type="presParOf" srcId="{D51C4435-04F6-4D3A-8AC9-28DE1618776D}" destId="{9A131EBF-4F2C-4F30-929D-6EE9E0F9BCAA}" srcOrd="1" destOrd="0" presId="urn:microsoft.com/office/officeart/2005/8/layout/orgChart1"/>
    <dgm:cxn modelId="{580FA096-7203-4CAF-8EE8-301CDB3AF602}" type="presParOf" srcId="{9A131EBF-4F2C-4F30-929D-6EE9E0F9BCAA}" destId="{551EDF52-9700-4415-9C5E-2D5BBD97710A}" srcOrd="0" destOrd="0" presId="urn:microsoft.com/office/officeart/2005/8/layout/orgChart1"/>
    <dgm:cxn modelId="{B2A085EB-1C68-4501-8C2E-5F92D921FE43}" type="presParOf" srcId="{9A131EBF-4F2C-4F30-929D-6EE9E0F9BCAA}" destId="{DD393105-A334-4EB7-8239-C3EC22ABC35C}" srcOrd="1" destOrd="0" presId="urn:microsoft.com/office/officeart/2005/8/layout/orgChart1"/>
    <dgm:cxn modelId="{0D30D445-4485-445D-A748-628D7F0821CC}" type="presParOf" srcId="{DD393105-A334-4EB7-8239-C3EC22ABC35C}" destId="{34E0B7B8-A9FE-4637-BA33-0D34A4985CFE}" srcOrd="0" destOrd="0" presId="urn:microsoft.com/office/officeart/2005/8/layout/orgChart1"/>
    <dgm:cxn modelId="{8DB5DC01-5111-498A-B4CA-3F9AD712CA34}" type="presParOf" srcId="{34E0B7B8-A9FE-4637-BA33-0D34A4985CFE}" destId="{07D3882F-C235-4ADF-85FA-E879C777A8BD}" srcOrd="0" destOrd="0" presId="urn:microsoft.com/office/officeart/2005/8/layout/orgChart1"/>
    <dgm:cxn modelId="{892E1A75-F939-4AD4-A7DD-BCDFF9159FAE}" type="presParOf" srcId="{34E0B7B8-A9FE-4637-BA33-0D34A4985CFE}" destId="{4AFAFC3D-D935-4174-82BF-8097E9CC3978}" srcOrd="1" destOrd="0" presId="urn:microsoft.com/office/officeart/2005/8/layout/orgChart1"/>
    <dgm:cxn modelId="{E2BDB891-9117-46FF-AFCC-EADEC6437123}" type="presParOf" srcId="{DD393105-A334-4EB7-8239-C3EC22ABC35C}" destId="{32762620-2305-4932-8569-3643D2BD0F19}" srcOrd="1" destOrd="0" presId="urn:microsoft.com/office/officeart/2005/8/layout/orgChart1"/>
    <dgm:cxn modelId="{E4676627-CB49-4E5A-B676-16307C7DDC16}" type="presParOf" srcId="{DD393105-A334-4EB7-8239-C3EC22ABC35C}" destId="{8BC1F9E8-51D5-4381-8499-A60AB874E0FD}" srcOrd="2" destOrd="0" presId="urn:microsoft.com/office/officeart/2005/8/layout/orgChart1"/>
    <dgm:cxn modelId="{084A1B8E-FA5E-486D-89CC-BEA1C0058534}" type="presParOf" srcId="{9A131EBF-4F2C-4F30-929D-6EE9E0F9BCAA}" destId="{FB2DB3A0-B135-43F4-88C1-E9985DD92C2D}" srcOrd="2" destOrd="0" presId="urn:microsoft.com/office/officeart/2005/8/layout/orgChart1"/>
    <dgm:cxn modelId="{E122C6E9-AED6-43BE-A753-5550CF2F18E5}" type="presParOf" srcId="{9A131EBF-4F2C-4F30-929D-6EE9E0F9BCAA}" destId="{B2D79C74-D841-47CF-928E-3D8F67BB6CF4}" srcOrd="3" destOrd="0" presId="urn:microsoft.com/office/officeart/2005/8/layout/orgChart1"/>
    <dgm:cxn modelId="{4194CA10-F659-491A-B7D7-0C119BFC80F6}" type="presParOf" srcId="{B2D79C74-D841-47CF-928E-3D8F67BB6CF4}" destId="{D530D8F6-4633-4E2B-9D7F-07FE13465AD0}" srcOrd="0" destOrd="0" presId="urn:microsoft.com/office/officeart/2005/8/layout/orgChart1"/>
    <dgm:cxn modelId="{4C580550-566D-4DE2-B623-B780786BB18E}" type="presParOf" srcId="{D530D8F6-4633-4E2B-9D7F-07FE13465AD0}" destId="{D7DDDDF0-F44F-4B11-B08B-89295DEA0D9B}" srcOrd="0" destOrd="0" presId="urn:microsoft.com/office/officeart/2005/8/layout/orgChart1"/>
    <dgm:cxn modelId="{063E24EA-AF20-4561-B6F3-FEEBAEBA2691}" type="presParOf" srcId="{D530D8F6-4633-4E2B-9D7F-07FE13465AD0}" destId="{3957C82B-EF44-4844-A580-BC3F07AD1AAA}" srcOrd="1" destOrd="0" presId="urn:microsoft.com/office/officeart/2005/8/layout/orgChart1"/>
    <dgm:cxn modelId="{2226CB48-DF09-43BC-86D0-466D54BA3642}" type="presParOf" srcId="{B2D79C74-D841-47CF-928E-3D8F67BB6CF4}" destId="{0754D7EF-BC43-404C-B8A6-6E2B1C6A9AE2}" srcOrd="1" destOrd="0" presId="urn:microsoft.com/office/officeart/2005/8/layout/orgChart1"/>
    <dgm:cxn modelId="{0009A926-5646-4AC9-8DFE-C29E2BA1AD25}" type="presParOf" srcId="{B2D79C74-D841-47CF-928E-3D8F67BB6CF4}" destId="{72B790DC-CD82-4BA6-8E1B-4F531F1D61F0}" srcOrd="2" destOrd="0" presId="urn:microsoft.com/office/officeart/2005/8/layout/orgChart1"/>
    <dgm:cxn modelId="{5AD6A90C-66A5-4E43-BCA1-7225D1C7F23F}" type="presParOf" srcId="{D51C4435-04F6-4D3A-8AC9-28DE1618776D}" destId="{A5AD6A0B-6137-45FE-AEC3-274EDB22E7BE}" srcOrd="2" destOrd="0" presId="urn:microsoft.com/office/officeart/2005/8/layout/orgChart1"/>
    <dgm:cxn modelId="{B27CEFD5-48D9-4E76-B0C8-4588EF49827A}" type="presParOf" srcId="{6EB25563-D21F-483B-A064-03B79922792B}" destId="{4E82E1CF-9093-4966-8BDC-BA30B6523B53}" srcOrd="2" destOrd="0" presId="urn:microsoft.com/office/officeart/2005/8/layout/orgChart1"/>
    <dgm:cxn modelId="{E63D8D65-FDC8-4A52-A870-1E61884EA78B}" type="presParOf" srcId="{6EB25563-D21F-483B-A064-03B79922792B}" destId="{6D4684D6-3049-41BE-9C43-0701009F3CD0}" srcOrd="3" destOrd="0" presId="urn:microsoft.com/office/officeart/2005/8/layout/orgChart1"/>
    <dgm:cxn modelId="{E736C0D1-3E6B-47A7-8138-6964B27A266D}" type="presParOf" srcId="{6D4684D6-3049-41BE-9C43-0701009F3CD0}" destId="{D575E6F6-8868-49B4-8B9A-094F6C77B41D}" srcOrd="0" destOrd="0" presId="urn:microsoft.com/office/officeart/2005/8/layout/orgChart1"/>
    <dgm:cxn modelId="{8469569C-D9E4-46F8-A564-8FBB74068B7B}" type="presParOf" srcId="{D575E6F6-8868-49B4-8B9A-094F6C77B41D}" destId="{12FDCBF9-3BED-482D-906E-5A09DB8EAF1F}" srcOrd="0" destOrd="0" presId="urn:microsoft.com/office/officeart/2005/8/layout/orgChart1"/>
    <dgm:cxn modelId="{F721646F-B7FE-4E1D-98A4-8196C3C0EDE3}" type="presParOf" srcId="{D575E6F6-8868-49B4-8B9A-094F6C77B41D}" destId="{FC89D3C7-0538-47F7-AF35-0B577D30F034}" srcOrd="1" destOrd="0" presId="urn:microsoft.com/office/officeart/2005/8/layout/orgChart1"/>
    <dgm:cxn modelId="{EA726D1E-4AAD-40A8-AAEC-B3787D57EF2D}" type="presParOf" srcId="{6D4684D6-3049-41BE-9C43-0701009F3CD0}" destId="{40C287F3-39F2-4A58-9655-CD0EF0D06F7B}" srcOrd="1" destOrd="0" presId="urn:microsoft.com/office/officeart/2005/8/layout/orgChart1"/>
    <dgm:cxn modelId="{8AEEE21E-F636-47D2-803A-54E35579FED0}" type="presParOf" srcId="{40C287F3-39F2-4A58-9655-CD0EF0D06F7B}" destId="{169005B3-517D-446B-8623-5C28558CA7A7}" srcOrd="0" destOrd="0" presId="urn:microsoft.com/office/officeart/2005/8/layout/orgChart1"/>
    <dgm:cxn modelId="{E1D788C8-A2A4-4D94-A2E3-D28D8D826605}" type="presParOf" srcId="{40C287F3-39F2-4A58-9655-CD0EF0D06F7B}" destId="{FA2189D4-0609-4BBD-B1A4-F50349B76580}" srcOrd="1" destOrd="0" presId="urn:microsoft.com/office/officeart/2005/8/layout/orgChart1"/>
    <dgm:cxn modelId="{4647F263-3DF1-4BAF-96E8-4C7C2DC836CF}" type="presParOf" srcId="{FA2189D4-0609-4BBD-B1A4-F50349B76580}" destId="{95C8BA52-0A25-4B1B-9C1C-6FAD6F87853F}" srcOrd="0" destOrd="0" presId="urn:microsoft.com/office/officeart/2005/8/layout/orgChart1"/>
    <dgm:cxn modelId="{C4484BBA-4E16-4FF6-BF53-529446D1268B}" type="presParOf" srcId="{95C8BA52-0A25-4B1B-9C1C-6FAD6F87853F}" destId="{1E535ECD-9FA0-4E48-A66D-29FFB2AB3B70}" srcOrd="0" destOrd="0" presId="urn:microsoft.com/office/officeart/2005/8/layout/orgChart1"/>
    <dgm:cxn modelId="{0581A7FE-E67E-4B32-83A3-FC43E3337B6E}" type="presParOf" srcId="{95C8BA52-0A25-4B1B-9C1C-6FAD6F87853F}" destId="{A2F7DB0A-CD49-4EDD-B25D-FF7E00E87D85}" srcOrd="1" destOrd="0" presId="urn:microsoft.com/office/officeart/2005/8/layout/orgChart1"/>
    <dgm:cxn modelId="{79424FE9-2496-429E-A365-F857AF1D2133}" type="presParOf" srcId="{FA2189D4-0609-4BBD-B1A4-F50349B76580}" destId="{55C12E5E-D71A-41AF-B0EE-8DEB10EABF6C}" srcOrd="1" destOrd="0" presId="urn:microsoft.com/office/officeart/2005/8/layout/orgChart1"/>
    <dgm:cxn modelId="{717A5A1A-ADF9-42E9-903B-506C096F782B}" type="presParOf" srcId="{FA2189D4-0609-4BBD-B1A4-F50349B76580}" destId="{E2A7F598-2A90-4FBC-9CCC-46032457887C}" srcOrd="2" destOrd="0" presId="urn:microsoft.com/office/officeart/2005/8/layout/orgChart1"/>
    <dgm:cxn modelId="{1A1407C5-B4BF-4306-9B8A-7534E95EA87F}" type="presParOf" srcId="{40C287F3-39F2-4A58-9655-CD0EF0D06F7B}" destId="{B1F44040-471C-47E1-AA4C-3975425FBF91}" srcOrd="2" destOrd="0" presId="urn:microsoft.com/office/officeart/2005/8/layout/orgChart1"/>
    <dgm:cxn modelId="{20B6C382-20CA-4C58-A86A-728FEB9C47DA}" type="presParOf" srcId="{40C287F3-39F2-4A58-9655-CD0EF0D06F7B}" destId="{C2D84DC7-5EF4-4BC8-9576-DED11C3A7DFD}" srcOrd="3" destOrd="0" presId="urn:microsoft.com/office/officeart/2005/8/layout/orgChart1"/>
    <dgm:cxn modelId="{39F572E4-9000-4534-A229-2B714C3E9EFC}" type="presParOf" srcId="{C2D84DC7-5EF4-4BC8-9576-DED11C3A7DFD}" destId="{A5EFAD50-F422-4DD0-B7DB-428FBE8FC6A2}" srcOrd="0" destOrd="0" presId="urn:microsoft.com/office/officeart/2005/8/layout/orgChart1"/>
    <dgm:cxn modelId="{E7A095AD-2959-4962-96F8-C660E9A7F81F}" type="presParOf" srcId="{A5EFAD50-F422-4DD0-B7DB-428FBE8FC6A2}" destId="{0A7F2A46-750F-45A2-923B-D1292802EFDC}" srcOrd="0" destOrd="0" presId="urn:microsoft.com/office/officeart/2005/8/layout/orgChart1"/>
    <dgm:cxn modelId="{9775B978-B36E-421D-95AB-F8F0E8F69F4A}" type="presParOf" srcId="{A5EFAD50-F422-4DD0-B7DB-428FBE8FC6A2}" destId="{5517D03E-AE9E-4827-A3FB-E1CF8BC3E098}" srcOrd="1" destOrd="0" presId="urn:microsoft.com/office/officeart/2005/8/layout/orgChart1"/>
    <dgm:cxn modelId="{A24F6127-CF53-4303-9B22-95D376094846}" type="presParOf" srcId="{C2D84DC7-5EF4-4BC8-9576-DED11C3A7DFD}" destId="{C84665DD-42F1-4826-AAB6-D8630126BC8B}" srcOrd="1" destOrd="0" presId="urn:microsoft.com/office/officeart/2005/8/layout/orgChart1"/>
    <dgm:cxn modelId="{41DB4AB5-628B-4B7C-93D1-EEE9DABC72C4}" type="presParOf" srcId="{C2D84DC7-5EF4-4BC8-9576-DED11C3A7DFD}" destId="{D8899574-0656-4F1B-8027-B715745A0824}" srcOrd="2" destOrd="0" presId="urn:microsoft.com/office/officeart/2005/8/layout/orgChart1"/>
    <dgm:cxn modelId="{858439DE-E424-406F-A088-A3EB623F3651}" type="presParOf" srcId="{6D4684D6-3049-41BE-9C43-0701009F3CD0}" destId="{4FF2B127-3DD1-49B2-A994-6E2D85102CCF}" srcOrd="2" destOrd="0" presId="urn:microsoft.com/office/officeart/2005/8/layout/orgChart1"/>
    <dgm:cxn modelId="{A6959655-966E-4695-8D8F-D83972F757AF}" type="presParOf" srcId="{D8BE7065-D2EC-4787-8FFC-B61F79EEC39D}" destId="{BC2296E3-678E-497E-9639-ED3DB6D9EADC}" srcOrd="2" destOrd="0" presId="urn:microsoft.com/office/officeart/2005/8/layout/orgChart1"/>
    <dgm:cxn modelId="{505C5B68-BD7B-4E09-ABD9-F8E8530278DA}" type="presParOf" srcId="{7F944FE0-D2A2-405B-BDFF-D1897631706E}" destId="{86920179-6629-4A58-BB26-F9023C6AB676}" srcOrd="6" destOrd="0" presId="urn:microsoft.com/office/officeart/2005/8/layout/orgChart1"/>
    <dgm:cxn modelId="{76D42695-FC79-481C-BEE6-513A9150AC44}" type="presParOf" srcId="{7F944FE0-D2A2-405B-BDFF-D1897631706E}" destId="{385AF64B-4878-49AF-BB34-3F012067394B}" srcOrd="7" destOrd="0" presId="urn:microsoft.com/office/officeart/2005/8/layout/orgChart1"/>
    <dgm:cxn modelId="{F8E0AF27-2ADC-400B-A6E0-63A1B7413E0E}" type="presParOf" srcId="{385AF64B-4878-49AF-BB34-3F012067394B}" destId="{068FD7B9-8011-48D2-A182-EBFC5AA118E2}" srcOrd="0" destOrd="0" presId="urn:microsoft.com/office/officeart/2005/8/layout/orgChart1"/>
    <dgm:cxn modelId="{3505760D-DC39-4EC7-BFCB-6C6333C6D690}" type="presParOf" srcId="{068FD7B9-8011-48D2-A182-EBFC5AA118E2}" destId="{34D49AA9-33AD-4664-ADD5-58DB46EB9889}" srcOrd="0" destOrd="0" presId="urn:microsoft.com/office/officeart/2005/8/layout/orgChart1"/>
    <dgm:cxn modelId="{4AF15307-BB03-4F37-BBCE-AAEA290489CF}" type="presParOf" srcId="{068FD7B9-8011-48D2-A182-EBFC5AA118E2}" destId="{FA21B6A8-6AD6-40C5-B832-097165E0AE14}" srcOrd="1" destOrd="0" presId="urn:microsoft.com/office/officeart/2005/8/layout/orgChart1"/>
    <dgm:cxn modelId="{80CB2798-DD92-4D81-A7D6-C503D2718DFB}" type="presParOf" srcId="{385AF64B-4878-49AF-BB34-3F012067394B}" destId="{7A9C32C9-16BF-4D3E-BDD1-44D79FD1AB24}" srcOrd="1" destOrd="0" presId="urn:microsoft.com/office/officeart/2005/8/layout/orgChart1"/>
    <dgm:cxn modelId="{AFA2F512-2A95-4EDC-80FC-1C80870C7BCE}" type="presParOf" srcId="{7A9C32C9-16BF-4D3E-BDD1-44D79FD1AB24}" destId="{6AC18233-7434-428C-A2CE-9E3AFE243EA4}" srcOrd="0" destOrd="0" presId="urn:microsoft.com/office/officeart/2005/8/layout/orgChart1"/>
    <dgm:cxn modelId="{FDB9DF51-37BF-48F4-B20C-733FD23A4CFD}" type="presParOf" srcId="{7A9C32C9-16BF-4D3E-BDD1-44D79FD1AB24}" destId="{EB24A0CA-CF3C-48F9-925F-67D055FC3E19}" srcOrd="1" destOrd="0" presId="urn:microsoft.com/office/officeart/2005/8/layout/orgChart1"/>
    <dgm:cxn modelId="{4530D514-35A1-46D9-AAE1-A7CFB808FC17}" type="presParOf" srcId="{EB24A0CA-CF3C-48F9-925F-67D055FC3E19}" destId="{4D6B7E68-7345-431E-88BB-893362ADA909}" srcOrd="0" destOrd="0" presId="urn:microsoft.com/office/officeart/2005/8/layout/orgChart1"/>
    <dgm:cxn modelId="{A106C5F1-1500-4BB5-AB00-08664D2E66C3}" type="presParOf" srcId="{4D6B7E68-7345-431E-88BB-893362ADA909}" destId="{DA2E93DC-BB1D-4564-889B-BA004AC786E0}" srcOrd="0" destOrd="0" presId="urn:microsoft.com/office/officeart/2005/8/layout/orgChart1"/>
    <dgm:cxn modelId="{8236D07F-222A-496A-B6FC-E0A1EF046721}" type="presParOf" srcId="{4D6B7E68-7345-431E-88BB-893362ADA909}" destId="{99E07EF1-2718-49C0-B549-73DEE2F71416}" srcOrd="1" destOrd="0" presId="urn:microsoft.com/office/officeart/2005/8/layout/orgChart1"/>
    <dgm:cxn modelId="{3F95A740-1903-4EDF-AF3B-B01A8C7DAC01}" type="presParOf" srcId="{EB24A0CA-CF3C-48F9-925F-67D055FC3E19}" destId="{7B0E1761-D15E-4320-AA6E-52EBF3F2E66D}" srcOrd="1" destOrd="0" presId="urn:microsoft.com/office/officeart/2005/8/layout/orgChart1"/>
    <dgm:cxn modelId="{B837B5A8-B74D-446F-AFB6-F900CAE4E170}" type="presParOf" srcId="{7B0E1761-D15E-4320-AA6E-52EBF3F2E66D}" destId="{D7968CA6-A26B-43C5-9036-51384CB0A177}" srcOrd="0" destOrd="0" presId="urn:microsoft.com/office/officeart/2005/8/layout/orgChart1"/>
    <dgm:cxn modelId="{AB832D94-2068-4249-872D-5239F82FF183}" type="presParOf" srcId="{7B0E1761-D15E-4320-AA6E-52EBF3F2E66D}" destId="{5E1D58CE-2EAC-4297-BEA4-14F9FB70B9DC}" srcOrd="1" destOrd="0" presId="urn:microsoft.com/office/officeart/2005/8/layout/orgChart1"/>
    <dgm:cxn modelId="{A1FDFC2E-754D-40FA-BD9C-01E5C12A456F}" type="presParOf" srcId="{5E1D58CE-2EAC-4297-BEA4-14F9FB70B9DC}" destId="{F8FCB22D-B5A4-4DFA-B1D0-C9BC424E0291}" srcOrd="0" destOrd="0" presId="urn:microsoft.com/office/officeart/2005/8/layout/orgChart1"/>
    <dgm:cxn modelId="{FA6FA06D-A675-40C6-83E7-083536865FFB}" type="presParOf" srcId="{F8FCB22D-B5A4-4DFA-B1D0-C9BC424E0291}" destId="{47D7B08E-C006-4337-AFA5-B2B6AB5330E7}" srcOrd="0" destOrd="0" presId="urn:microsoft.com/office/officeart/2005/8/layout/orgChart1"/>
    <dgm:cxn modelId="{F37756B1-274F-42A0-8307-F41567F622D8}" type="presParOf" srcId="{F8FCB22D-B5A4-4DFA-B1D0-C9BC424E0291}" destId="{30BF917B-30C7-4244-BCF5-B6609692DE4D}" srcOrd="1" destOrd="0" presId="urn:microsoft.com/office/officeart/2005/8/layout/orgChart1"/>
    <dgm:cxn modelId="{FF670EA7-7A25-4395-8A19-322A89589F0F}" type="presParOf" srcId="{5E1D58CE-2EAC-4297-BEA4-14F9FB70B9DC}" destId="{CA706695-D83D-4307-9D43-2078468493DA}" srcOrd="1" destOrd="0" presId="urn:microsoft.com/office/officeart/2005/8/layout/orgChart1"/>
    <dgm:cxn modelId="{ADD01224-0067-4A94-B548-47D35EDB61AF}" type="presParOf" srcId="{5E1D58CE-2EAC-4297-BEA4-14F9FB70B9DC}" destId="{B34B29DD-FFDA-4380-8BFE-760AF2CEBD42}" srcOrd="2" destOrd="0" presId="urn:microsoft.com/office/officeart/2005/8/layout/orgChart1"/>
    <dgm:cxn modelId="{52CD9F69-E8C9-4F21-B787-02A934F7B049}" type="presParOf" srcId="{7B0E1761-D15E-4320-AA6E-52EBF3F2E66D}" destId="{0E0991F3-3934-47BB-929B-D5CDA7641990}" srcOrd="2" destOrd="0" presId="urn:microsoft.com/office/officeart/2005/8/layout/orgChart1"/>
    <dgm:cxn modelId="{9E84BE48-B531-4D77-8E4C-225018DCE5E9}" type="presParOf" srcId="{7B0E1761-D15E-4320-AA6E-52EBF3F2E66D}" destId="{329A036F-A499-429D-A48A-A92561947667}" srcOrd="3" destOrd="0" presId="urn:microsoft.com/office/officeart/2005/8/layout/orgChart1"/>
    <dgm:cxn modelId="{8D7ABD9D-E389-46B1-B921-F692F5E2B8BF}" type="presParOf" srcId="{329A036F-A499-429D-A48A-A92561947667}" destId="{AE82D68E-D9B7-46FF-85E9-8B70C6683B55}" srcOrd="0" destOrd="0" presId="urn:microsoft.com/office/officeart/2005/8/layout/orgChart1"/>
    <dgm:cxn modelId="{DAA2BB1F-F726-47FE-96B4-6C1EBB3DD6DA}" type="presParOf" srcId="{AE82D68E-D9B7-46FF-85E9-8B70C6683B55}" destId="{43E1BAD0-C612-479E-A76D-9ADDAE663A0D}" srcOrd="0" destOrd="0" presId="urn:microsoft.com/office/officeart/2005/8/layout/orgChart1"/>
    <dgm:cxn modelId="{50A7D0B0-3339-4C5F-975B-5A1AC5141208}" type="presParOf" srcId="{AE82D68E-D9B7-46FF-85E9-8B70C6683B55}" destId="{C3AE13EC-AD65-415B-91FB-22FE48785A3E}" srcOrd="1" destOrd="0" presId="urn:microsoft.com/office/officeart/2005/8/layout/orgChart1"/>
    <dgm:cxn modelId="{DE3B34E6-B330-47A9-AC8A-4819ADA15C07}" type="presParOf" srcId="{329A036F-A499-429D-A48A-A92561947667}" destId="{2C38C1EE-8865-4C5D-A418-8541DB06CDA8}" srcOrd="1" destOrd="0" presId="urn:microsoft.com/office/officeart/2005/8/layout/orgChart1"/>
    <dgm:cxn modelId="{DF79357D-F277-4FD9-89DD-291106278334}" type="presParOf" srcId="{329A036F-A499-429D-A48A-A92561947667}" destId="{8FB92146-00F4-4711-B047-DF4AF7DA2428}" srcOrd="2" destOrd="0" presId="urn:microsoft.com/office/officeart/2005/8/layout/orgChart1"/>
    <dgm:cxn modelId="{74A5E3CD-D026-4388-B6F6-9AD4F2B57EC4}" type="presParOf" srcId="{EB24A0CA-CF3C-48F9-925F-67D055FC3E19}" destId="{61A6C384-661D-4488-AD5D-768B4A947FBD}" srcOrd="2" destOrd="0" presId="urn:microsoft.com/office/officeart/2005/8/layout/orgChart1"/>
    <dgm:cxn modelId="{AC84A93D-7AFC-420C-9CE4-959DBC737A0D}" type="presParOf" srcId="{7A9C32C9-16BF-4D3E-BDD1-44D79FD1AB24}" destId="{3A9512E9-E1C5-4380-BA7C-8E54B5E137DF}" srcOrd="2" destOrd="0" presId="urn:microsoft.com/office/officeart/2005/8/layout/orgChart1"/>
    <dgm:cxn modelId="{7A71AC06-ED4E-462F-9111-F9CF23CCAC1D}" type="presParOf" srcId="{7A9C32C9-16BF-4D3E-BDD1-44D79FD1AB24}" destId="{075A8305-3775-48CC-A7D3-4320ADDF26A5}" srcOrd="3" destOrd="0" presId="urn:microsoft.com/office/officeart/2005/8/layout/orgChart1"/>
    <dgm:cxn modelId="{650AE8AF-2B56-4597-AB6D-19A339DBA44E}" type="presParOf" srcId="{075A8305-3775-48CC-A7D3-4320ADDF26A5}" destId="{914A0770-4145-43FC-8249-A757D3507335}" srcOrd="0" destOrd="0" presId="urn:microsoft.com/office/officeart/2005/8/layout/orgChart1"/>
    <dgm:cxn modelId="{84418E88-46B6-4E5C-92A4-26E6CF99258B}" type="presParOf" srcId="{914A0770-4145-43FC-8249-A757D3507335}" destId="{4CB3CC10-420D-4678-B4A5-F650FAA65CFC}" srcOrd="0" destOrd="0" presId="urn:microsoft.com/office/officeart/2005/8/layout/orgChart1"/>
    <dgm:cxn modelId="{74B78DA3-1573-4653-BBED-3A85E11C50C2}" type="presParOf" srcId="{914A0770-4145-43FC-8249-A757D3507335}" destId="{E962E456-3173-4AC8-9388-5565756FFDF6}" srcOrd="1" destOrd="0" presId="urn:microsoft.com/office/officeart/2005/8/layout/orgChart1"/>
    <dgm:cxn modelId="{8EF25480-B45E-4DF8-A473-D6C8120863FB}" type="presParOf" srcId="{075A8305-3775-48CC-A7D3-4320ADDF26A5}" destId="{7E0C7BB9-5BB2-4E5A-B8D7-6F7CFC60ED3A}" srcOrd="1" destOrd="0" presId="urn:microsoft.com/office/officeart/2005/8/layout/orgChart1"/>
    <dgm:cxn modelId="{18F2A3A4-DE32-4D18-BECF-AFA762C256AE}" type="presParOf" srcId="{7E0C7BB9-5BB2-4E5A-B8D7-6F7CFC60ED3A}" destId="{DE31F5CA-37EC-464B-A0E1-9AB790904E0E}" srcOrd="0" destOrd="0" presId="urn:microsoft.com/office/officeart/2005/8/layout/orgChart1"/>
    <dgm:cxn modelId="{69F0F29B-DEC6-4ADE-A473-B8722C058D6B}" type="presParOf" srcId="{7E0C7BB9-5BB2-4E5A-B8D7-6F7CFC60ED3A}" destId="{D467E7B8-8553-4750-9481-240B144A140A}" srcOrd="1" destOrd="0" presId="urn:microsoft.com/office/officeart/2005/8/layout/orgChart1"/>
    <dgm:cxn modelId="{D12E7E75-5C15-4772-A3C0-BDCFB803F8D2}" type="presParOf" srcId="{D467E7B8-8553-4750-9481-240B144A140A}" destId="{9020D338-B3A5-4F47-AA57-A04CF4F69450}" srcOrd="0" destOrd="0" presId="urn:microsoft.com/office/officeart/2005/8/layout/orgChart1"/>
    <dgm:cxn modelId="{7F88A7AD-4137-4E38-A763-CAC2BFCF0B91}" type="presParOf" srcId="{9020D338-B3A5-4F47-AA57-A04CF4F69450}" destId="{A197E7E5-E989-4B2D-830A-0E09071FB3E2}" srcOrd="0" destOrd="0" presId="urn:microsoft.com/office/officeart/2005/8/layout/orgChart1"/>
    <dgm:cxn modelId="{D26A460B-9197-463F-B8CE-5D4A8CEECD5F}" type="presParOf" srcId="{9020D338-B3A5-4F47-AA57-A04CF4F69450}" destId="{1E232AB8-93DE-4845-B58C-D44BE96A7024}" srcOrd="1" destOrd="0" presId="urn:microsoft.com/office/officeart/2005/8/layout/orgChart1"/>
    <dgm:cxn modelId="{082CA0B0-DB59-4D96-A8F6-5BC0E256138B}" type="presParOf" srcId="{D467E7B8-8553-4750-9481-240B144A140A}" destId="{338CCFC0-5726-4721-B4E9-EF0DACB834A8}" srcOrd="1" destOrd="0" presId="urn:microsoft.com/office/officeart/2005/8/layout/orgChart1"/>
    <dgm:cxn modelId="{3D72D754-DCD1-46BC-A1C3-7E91730D3358}" type="presParOf" srcId="{D467E7B8-8553-4750-9481-240B144A140A}" destId="{62BFC6B3-6425-493A-83F9-96A151286232}" srcOrd="2" destOrd="0" presId="urn:microsoft.com/office/officeart/2005/8/layout/orgChart1"/>
    <dgm:cxn modelId="{96BBE681-5025-4915-ABEA-0B706FDA8D72}" type="presParOf" srcId="{7E0C7BB9-5BB2-4E5A-B8D7-6F7CFC60ED3A}" destId="{D18005E3-3D18-450E-9096-830C7B84DD3D}" srcOrd="2" destOrd="0" presId="urn:microsoft.com/office/officeart/2005/8/layout/orgChart1"/>
    <dgm:cxn modelId="{6DE9679C-F156-4435-B0B6-EDDF1C46426B}" type="presParOf" srcId="{7E0C7BB9-5BB2-4E5A-B8D7-6F7CFC60ED3A}" destId="{87410152-9607-4825-9A58-7924DC1B0288}" srcOrd="3" destOrd="0" presId="urn:microsoft.com/office/officeart/2005/8/layout/orgChart1"/>
    <dgm:cxn modelId="{2CD5E765-1120-40A2-9145-48B523EE9627}" type="presParOf" srcId="{87410152-9607-4825-9A58-7924DC1B0288}" destId="{17E83584-B59E-4EC9-B0BE-9C4D21AD1BB3}" srcOrd="0" destOrd="0" presId="urn:microsoft.com/office/officeart/2005/8/layout/orgChart1"/>
    <dgm:cxn modelId="{F74779D5-B3EE-4302-B547-9AFEC8D7ADBD}" type="presParOf" srcId="{17E83584-B59E-4EC9-B0BE-9C4D21AD1BB3}" destId="{C5B5092F-8374-4C46-8567-B5ADA6FBAAC7}" srcOrd="0" destOrd="0" presId="urn:microsoft.com/office/officeart/2005/8/layout/orgChart1"/>
    <dgm:cxn modelId="{DAC0825D-6713-4CE5-9372-B1344D7A1773}" type="presParOf" srcId="{17E83584-B59E-4EC9-B0BE-9C4D21AD1BB3}" destId="{8A9EBF63-A449-476C-B9EF-8D13ECA5F859}" srcOrd="1" destOrd="0" presId="urn:microsoft.com/office/officeart/2005/8/layout/orgChart1"/>
    <dgm:cxn modelId="{982FDCF7-4001-4738-BD97-18263DB75537}" type="presParOf" srcId="{87410152-9607-4825-9A58-7924DC1B0288}" destId="{0F301543-7B6C-49B8-9BE5-D4D9828D27C3}" srcOrd="1" destOrd="0" presId="urn:microsoft.com/office/officeart/2005/8/layout/orgChart1"/>
    <dgm:cxn modelId="{E6F5409E-A788-43A0-ADBB-4979B8D1A9ED}" type="presParOf" srcId="{87410152-9607-4825-9A58-7924DC1B0288}" destId="{30EAA05C-2215-4B9E-8BA5-3604D8F14820}" srcOrd="2" destOrd="0" presId="urn:microsoft.com/office/officeart/2005/8/layout/orgChart1"/>
    <dgm:cxn modelId="{FFB27241-B96D-462E-9D29-8F3850491BAF}" type="presParOf" srcId="{7E0C7BB9-5BB2-4E5A-B8D7-6F7CFC60ED3A}" destId="{9D75A9BA-2063-4BE0-906D-7CCF7C73C3FB}" srcOrd="4" destOrd="0" presId="urn:microsoft.com/office/officeart/2005/8/layout/orgChart1"/>
    <dgm:cxn modelId="{1360CE30-CCBE-4A89-88B5-0630D633FAD6}" type="presParOf" srcId="{7E0C7BB9-5BB2-4E5A-B8D7-6F7CFC60ED3A}" destId="{7E7F8AEE-EFEB-4465-8792-3BCC4555583E}" srcOrd="5" destOrd="0" presId="urn:microsoft.com/office/officeart/2005/8/layout/orgChart1"/>
    <dgm:cxn modelId="{8578E93E-6771-49FE-A922-C148DB3C2C16}" type="presParOf" srcId="{7E7F8AEE-EFEB-4465-8792-3BCC4555583E}" destId="{FCF38706-1CEF-4581-8D8C-D3BBFD4E7D99}" srcOrd="0" destOrd="0" presId="urn:microsoft.com/office/officeart/2005/8/layout/orgChart1"/>
    <dgm:cxn modelId="{2BC237AD-8DE7-41A1-A6C4-223A6B8D65D0}" type="presParOf" srcId="{FCF38706-1CEF-4581-8D8C-D3BBFD4E7D99}" destId="{DD041405-12E2-46AF-8185-E79A3B1300BA}" srcOrd="0" destOrd="0" presId="urn:microsoft.com/office/officeart/2005/8/layout/orgChart1"/>
    <dgm:cxn modelId="{F21C7986-C09E-44AA-AE08-F33CB5E1EF99}" type="presParOf" srcId="{FCF38706-1CEF-4581-8D8C-D3BBFD4E7D99}" destId="{EA31C55C-7157-4761-9B09-DED18918CD12}" srcOrd="1" destOrd="0" presId="urn:microsoft.com/office/officeart/2005/8/layout/orgChart1"/>
    <dgm:cxn modelId="{18A4F4D2-A6E3-4676-BF25-8266138C5E06}" type="presParOf" srcId="{7E7F8AEE-EFEB-4465-8792-3BCC4555583E}" destId="{E58D7CCD-26B2-4483-8948-7F32C1311019}" srcOrd="1" destOrd="0" presId="urn:microsoft.com/office/officeart/2005/8/layout/orgChart1"/>
    <dgm:cxn modelId="{2513959D-FBE2-4460-BBF5-74994AC1CC69}" type="presParOf" srcId="{7E7F8AEE-EFEB-4465-8792-3BCC4555583E}" destId="{D95EEBED-AEDE-4CE5-8FB6-D3CEFE52B828}" srcOrd="2" destOrd="0" presId="urn:microsoft.com/office/officeart/2005/8/layout/orgChart1"/>
    <dgm:cxn modelId="{75DFDA36-4452-442A-B737-249E0EA8BFC1}" type="presParOf" srcId="{075A8305-3775-48CC-A7D3-4320ADDF26A5}" destId="{8CDCB8B8-B9F5-4D9F-938A-73D933864FEF}" srcOrd="2" destOrd="0" presId="urn:microsoft.com/office/officeart/2005/8/layout/orgChart1"/>
    <dgm:cxn modelId="{BDF321F8-05D7-4A2E-9C5D-10317F85A024}" type="presParOf" srcId="{7A9C32C9-16BF-4D3E-BDD1-44D79FD1AB24}" destId="{FA04B69D-268A-446E-98B0-E93679E0B0F9}" srcOrd="4" destOrd="0" presId="urn:microsoft.com/office/officeart/2005/8/layout/orgChart1"/>
    <dgm:cxn modelId="{7D158B70-677F-4301-BC84-4D64C20F6987}" type="presParOf" srcId="{7A9C32C9-16BF-4D3E-BDD1-44D79FD1AB24}" destId="{8A28E437-7D19-4A4D-BAA3-E4C13A68EF18}" srcOrd="5" destOrd="0" presId="urn:microsoft.com/office/officeart/2005/8/layout/orgChart1"/>
    <dgm:cxn modelId="{5C8972CE-15B4-4ED0-91BB-2685EED4F188}" type="presParOf" srcId="{8A28E437-7D19-4A4D-BAA3-E4C13A68EF18}" destId="{CED7FB2C-78A1-452B-BFCB-1A5C4D00A5F6}" srcOrd="0" destOrd="0" presId="urn:microsoft.com/office/officeart/2005/8/layout/orgChart1"/>
    <dgm:cxn modelId="{31C5DDED-409B-48D4-ADD2-7F83C01FD57A}" type="presParOf" srcId="{CED7FB2C-78A1-452B-BFCB-1A5C4D00A5F6}" destId="{FE319937-70A2-4E60-A528-D283398BE2D1}" srcOrd="0" destOrd="0" presId="urn:microsoft.com/office/officeart/2005/8/layout/orgChart1"/>
    <dgm:cxn modelId="{7FACCD25-97DC-4AAD-823F-2F85BC2FB7B1}" type="presParOf" srcId="{CED7FB2C-78A1-452B-BFCB-1A5C4D00A5F6}" destId="{761243C1-22DA-44DB-B1AF-653199C71AC9}" srcOrd="1" destOrd="0" presId="urn:microsoft.com/office/officeart/2005/8/layout/orgChart1"/>
    <dgm:cxn modelId="{F35F7D5D-886F-4B4C-8136-C9F31DDC6145}" type="presParOf" srcId="{8A28E437-7D19-4A4D-BAA3-E4C13A68EF18}" destId="{AE1726BF-0105-4BC3-8593-723190E4AF92}" srcOrd="1" destOrd="0" presId="urn:microsoft.com/office/officeart/2005/8/layout/orgChart1"/>
    <dgm:cxn modelId="{5D9EB584-323F-41B4-9B47-5FFD42289676}" type="presParOf" srcId="{8A28E437-7D19-4A4D-BAA3-E4C13A68EF18}" destId="{4AD40319-4D6B-4FA0-A0B8-DC35EFEA7A15}" srcOrd="2" destOrd="0" presId="urn:microsoft.com/office/officeart/2005/8/layout/orgChart1"/>
    <dgm:cxn modelId="{5805C64B-FB5A-46B8-9274-0E1A1A361F41}" type="presParOf" srcId="{385AF64B-4878-49AF-BB34-3F012067394B}" destId="{03864CF9-7B53-4B08-8E2A-D1D6CFCD74A7}" srcOrd="2" destOrd="0" presId="urn:microsoft.com/office/officeart/2005/8/layout/orgChart1"/>
    <dgm:cxn modelId="{02E0F069-6F94-41DE-82AA-EBE78184B8BB}" type="presParOf" srcId="{7F944FE0-D2A2-405B-BDFF-D1897631706E}" destId="{58BDADBE-4402-4E6F-AB6F-E215C5F98D3B}" srcOrd="8" destOrd="0" presId="urn:microsoft.com/office/officeart/2005/8/layout/orgChart1"/>
    <dgm:cxn modelId="{F0A76E12-6B1D-4B90-B339-3CDBE076D939}" type="presParOf" srcId="{7F944FE0-D2A2-405B-BDFF-D1897631706E}" destId="{CAC55414-926B-4025-9709-C51A1C0F1BA3}" srcOrd="9" destOrd="0" presId="urn:microsoft.com/office/officeart/2005/8/layout/orgChart1"/>
    <dgm:cxn modelId="{C72C7591-5F82-4B5A-A049-67F20578B50F}" type="presParOf" srcId="{CAC55414-926B-4025-9709-C51A1C0F1BA3}" destId="{84CEA5E3-2733-4C8E-82C3-8E65E6AC6A4F}" srcOrd="0" destOrd="0" presId="urn:microsoft.com/office/officeart/2005/8/layout/orgChart1"/>
    <dgm:cxn modelId="{6A2BBE13-16AC-4523-B4B9-72DE19F73D9C}" type="presParOf" srcId="{84CEA5E3-2733-4C8E-82C3-8E65E6AC6A4F}" destId="{0BF99F41-2B36-4860-856E-9B912562371F}" srcOrd="0" destOrd="0" presId="urn:microsoft.com/office/officeart/2005/8/layout/orgChart1"/>
    <dgm:cxn modelId="{CD06E973-4A2B-463E-8A1D-C87C07C83738}" type="presParOf" srcId="{84CEA5E3-2733-4C8E-82C3-8E65E6AC6A4F}" destId="{9BBA3CDE-9578-436B-BF71-4165D5256392}" srcOrd="1" destOrd="0" presId="urn:microsoft.com/office/officeart/2005/8/layout/orgChart1"/>
    <dgm:cxn modelId="{DAE43EDB-B780-4701-AD57-2D8AAD852608}" type="presParOf" srcId="{CAC55414-926B-4025-9709-C51A1C0F1BA3}" destId="{30CBF445-3176-4871-AE74-8842DAE8EA77}" srcOrd="1" destOrd="0" presId="urn:microsoft.com/office/officeart/2005/8/layout/orgChart1"/>
    <dgm:cxn modelId="{DE987850-B32E-4784-B914-A5FBB37AB6D8}" type="presParOf" srcId="{30CBF445-3176-4871-AE74-8842DAE8EA77}" destId="{47A21D83-0961-4F83-B6CA-9111DF4BFE52}" srcOrd="0" destOrd="0" presId="urn:microsoft.com/office/officeart/2005/8/layout/orgChart1"/>
    <dgm:cxn modelId="{67E2D471-5ACD-4E8F-91EE-99F23BC4BCCB}" type="presParOf" srcId="{30CBF445-3176-4871-AE74-8842DAE8EA77}" destId="{27C8648E-06C7-41E1-AB85-24ADACB06DA0}" srcOrd="1" destOrd="0" presId="urn:microsoft.com/office/officeart/2005/8/layout/orgChart1"/>
    <dgm:cxn modelId="{AE5C867B-D958-46D6-BAAC-39DDE124CB01}" type="presParOf" srcId="{27C8648E-06C7-41E1-AB85-24ADACB06DA0}" destId="{7FF5428D-C306-457D-B0CD-DBEC8B50A11D}" srcOrd="0" destOrd="0" presId="urn:microsoft.com/office/officeart/2005/8/layout/orgChart1"/>
    <dgm:cxn modelId="{1B7FB2C9-8947-4F65-BD1D-B5517647009F}" type="presParOf" srcId="{7FF5428D-C306-457D-B0CD-DBEC8B50A11D}" destId="{D2B32FE8-B300-4E27-B7E2-297F3F999D4E}" srcOrd="0" destOrd="0" presId="urn:microsoft.com/office/officeart/2005/8/layout/orgChart1"/>
    <dgm:cxn modelId="{2AD13E75-037C-45DF-ACDA-CF90CBCC82C7}" type="presParOf" srcId="{7FF5428D-C306-457D-B0CD-DBEC8B50A11D}" destId="{9F318731-EE01-4314-B79B-B28E42749C00}" srcOrd="1" destOrd="0" presId="urn:microsoft.com/office/officeart/2005/8/layout/orgChart1"/>
    <dgm:cxn modelId="{D2A9C128-423F-422D-BA90-4EE995BE9C00}" type="presParOf" srcId="{27C8648E-06C7-41E1-AB85-24ADACB06DA0}" destId="{81979E69-6B05-4EC7-AA2F-C9F76EBB2E89}" srcOrd="1" destOrd="0" presId="urn:microsoft.com/office/officeart/2005/8/layout/orgChart1"/>
    <dgm:cxn modelId="{7377343D-32BD-4CFB-B49C-BF1A51EE23AB}" type="presParOf" srcId="{27C8648E-06C7-41E1-AB85-24ADACB06DA0}" destId="{5C6B34E6-E6BA-4C7A-BDB3-963037826DD2}" srcOrd="2" destOrd="0" presId="urn:microsoft.com/office/officeart/2005/8/layout/orgChart1"/>
    <dgm:cxn modelId="{9F08E43E-64E0-48E0-9F97-B8FCF61133D5}" type="presParOf" srcId="{30CBF445-3176-4871-AE74-8842DAE8EA77}" destId="{807FA1CB-C069-4A68-9F5B-ACB3D4C2C7E0}" srcOrd="2" destOrd="0" presId="urn:microsoft.com/office/officeart/2005/8/layout/orgChart1"/>
    <dgm:cxn modelId="{E31466F6-2974-4E95-9608-F9165E799D14}" type="presParOf" srcId="{30CBF445-3176-4871-AE74-8842DAE8EA77}" destId="{D5654D94-4063-4907-90AD-D557FD0FC7D8}" srcOrd="3" destOrd="0" presId="urn:microsoft.com/office/officeart/2005/8/layout/orgChart1"/>
    <dgm:cxn modelId="{EB4B99A6-DB32-4928-A173-8C45F3FB69AA}" type="presParOf" srcId="{D5654D94-4063-4907-90AD-D557FD0FC7D8}" destId="{3B29332E-B997-4913-82FD-7ADE58B37E18}" srcOrd="0" destOrd="0" presId="urn:microsoft.com/office/officeart/2005/8/layout/orgChart1"/>
    <dgm:cxn modelId="{F3BFFA03-8488-496A-AB25-7C43E2D50736}" type="presParOf" srcId="{3B29332E-B997-4913-82FD-7ADE58B37E18}" destId="{0B77889B-AAC5-42E4-AC09-1DCA681BCE85}" srcOrd="0" destOrd="0" presId="urn:microsoft.com/office/officeart/2005/8/layout/orgChart1"/>
    <dgm:cxn modelId="{310FBE1B-E1A3-470B-874F-916F6BBD7246}" type="presParOf" srcId="{3B29332E-B997-4913-82FD-7ADE58B37E18}" destId="{45F7E176-19D1-4464-8B8E-5DA14B89B110}" srcOrd="1" destOrd="0" presId="urn:microsoft.com/office/officeart/2005/8/layout/orgChart1"/>
    <dgm:cxn modelId="{5155367C-192F-4257-939B-EA02AC13F191}" type="presParOf" srcId="{D5654D94-4063-4907-90AD-D557FD0FC7D8}" destId="{B4601DB9-3547-46B7-BCB9-99185FEAFD54}" srcOrd="1" destOrd="0" presId="urn:microsoft.com/office/officeart/2005/8/layout/orgChart1"/>
    <dgm:cxn modelId="{54BC8AEE-6831-4265-959C-D71BA3A76522}" type="presParOf" srcId="{D5654D94-4063-4907-90AD-D557FD0FC7D8}" destId="{A7A4D252-5741-44E4-B403-B75C460BBA4E}" srcOrd="2" destOrd="0" presId="urn:microsoft.com/office/officeart/2005/8/layout/orgChart1"/>
    <dgm:cxn modelId="{DAC7D936-A2F5-4467-8B40-675474CED4CA}" type="presParOf" srcId="{30CBF445-3176-4871-AE74-8842DAE8EA77}" destId="{437A1297-BF94-4C16-89EC-F9C850AB66AC}" srcOrd="4" destOrd="0" presId="urn:microsoft.com/office/officeart/2005/8/layout/orgChart1"/>
    <dgm:cxn modelId="{962A3FE0-0E7B-4EDB-A5C1-3039B2E16A94}" type="presParOf" srcId="{30CBF445-3176-4871-AE74-8842DAE8EA77}" destId="{1CF62F75-ACC6-41D9-9E49-D4137EAE5810}" srcOrd="5" destOrd="0" presId="urn:microsoft.com/office/officeart/2005/8/layout/orgChart1"/>
    <dgm:cxn modelId="{3F294272-033B-4C6A-A5F5-01DA540620C8}" type="presParOf" srcId="{1CF62F75-ACC6-41D9-9E49-D4137EAE5810}" destId="{2CC3EC5D-ABD7-44C2-8FEA-D2C50630AABB}" srcOrd="0" destOrd="0" presId="urn:microsoft.com/office/officeart/2005/8/layout/orgChart1"/>
    <dgm:cxn modelId="{7D262DB9-69D4-420F-9492-3A38612E30FA}" type="presParOf" srcId="{2CC3EC5D-ABD7-44C2-8FEA-D2C50630AABB}" destId="{08E72879-DC68-4B71-817A-C7C0F3436399}" srcOrd="0" destOrd="0" presId="urn:microsoft.com/office/officeart/2005/8/layout/orgChart1"/>
    <dgm:cxn modelId="{FD322216-6428-4F5F-9BD9-91C2478B3FD1}" type="presParOf" srcId="{2CC3EC5D-ABD7-44C2-8FEA-D2C50630AABB}" destId="{CDAB659F-E50D-4498-911B-0C6547CF2432}" srcOrd="1" destOrd="0" presId="urn:microsoft.com/office/officeart/2005/8/layout/orgChart1"/>
    <dgm:cxn modelId="{52F79F86-3BCA-47EE-8FAF-A7F93890693E}" type="presParOf" srcId="{1CF62F75-ACC6-41D9-9E49-D4137EAE5810}" destId="{CEF88D78-B21E-42D7-8A3B-FCF073D93A4C}" srcOrd="1" destOrd="0" presId="urn:microsoft.com/office/officeart/2005/8/layout/orgChart1"/>
    <dgm:cxn modelId="{6F9402C7-F735-441F-B88C-BB9C2E95B0E8}" type="presParOf" srcId="{1CF62F75-ACC6-41D9-9E49-D4137EAE5810}" destId="{2D1CB82C-687F-4CE1-AA45-F2FAB7ED630D}" srcOrd="2" destOrd="0" presId="urn:microsoft.com/office/officeart/2005/8/layout/orgChart1"/>
    <dgm:cxn modelId="{B05646DC-D262-4875-BA92-32157A3421D0}" type="presParOf" srcId="{CAC55414-926B-4025-9709-C51A1C0F1BA3}" destId="{06364E07-E5A5-47C1-8783-78E7393DD3C8}" srcOrd="2" destOrd="0" presId="urn:microsoft.com/office/officeart/2005/8/layout/orgChart1"/>
    <dgm:cxn modelId="{87C24E4D-3B70-4B43-9412-557B2797F426}" type="presParOf" srcId="{7F944FE0-D2A2-405B-BDFF-D1897631706E}" destId="{1CAB3E94-5855-4109-A43C-7105AD6B26D0}" srcOrd="10" destOrd="0" presId="urn:microsoft.com/office/officeart/2005/8/layout/orgChart1"/>
    <dgm:cxn modelId="{83469CB4-81DE-430C-B021-14D01E550E04}" type="presParOf" srcId="{7F944FE0-D2A2-405B-BDFF-D1897631706E}" destId="{F9117AA4-539E-4EE3-B164-8174B0B40EC0}" srcOrd="11" destOrd="0" presId="urn:microsoft.com/office/officeart/2005/8/layout/orgChart1"/>
    <dgm:cxn modelId="{F54B7B07-4CD1-41A9-B114-34151EC16ED7}" type="presParOf" srcId="{F9117AA4-539E-4EE3-B164-8174B0B40EC0}" destId="{EAF88972-4E53-4659-94BD-910A092B9148}" srcOrd="0" destOrd="0" presId="urn:microsoft.com/office/officeart/2005/8/layout/orgChart1"/>
    <dgm:cxn modelId="{4DE60D68-2A28-450E-A39E-9C1406F13E5E}" type="presParOf" srcId="{EAF88972-4E53-4659-94BD-910A092B9148}" destId="{3A2A1C1F-CABC-4C98-B728-F262323AA994}" srcOrd="0" destOrd="0" presId="urn:microsoft.com/office/officeart/2005/8/layout/orgChart1"/>
    <dgm:cxn modelId="{45CAFAAB-B05A-4D0D-BC95-D44B903991A6}" type="presParOf" srcId="{EAF88972-4E53-4659-94BD-910A092B9148}" destId="{0393B6C4-B4FB-4B6B-8DB5-37B9B19AABA4}" srcOrd="1" destOrd="0" presId="urn:microsoft.com/office/officeart/2005/8/layout/orgChart1"/>
    <dgm:cxn modelId="{F80F869F-5C9B-4F78-AC0E-3FC632EF3C2B}" type="presParOf" srcId="{F9117AA4-539E-4EE3-B164-8174B0B40EC0}" destId="{977D3813-5412-42A7-8B4D-5447A06AC163}" srcOrd="1" destOrd="0" presId="urn:microsoft.com/office/officeart/2005/8/layout/orgChart1"/>
    <dgm:cxn modelId="{0BE71C7E-9281-427A-99F9-BC5F60C54CDD}" type="presParOf" srcId="{977D3813-5412-42A7-8B4D-5447A06AC163}" destId="{78FA309A-083A-4C64-9477-7A3C69B2784C}" srcOrd="0" destOrd="0" presId="urn:microsoft.com/office/officeart/2005/8/layout/orgChart1"/>
    <dgm:cxn modelId="{1A5C6895-F901-495B-9F34-4F94A1CCE95C}" type="presParOf" srcId="{977D3813-5412-42A7-8B4D-5447A06AC163}" destId="{FEB3D90E-42D2-4AC7-9CB5-35870C299752}" srcOrd="1" destOrd="0" presId="urn:microsoft.com/office/officeart/2005/8/layout/orgChart1"/>
    <dgm:cxn modelId="{018D4DDA-860B-41E4-88BD-73D413F68961}" type="presParOf" srcId="{FEB3D90E-42D2-4AC7-9CB5-35870C299752}" destId="{05080593-A2ED-4379-91EC-55846B4CD50F}" srcOrd="0" destOrd="0" presId="urn:microsoft.com/office/officeart/2005/8/layout/orgChart1"/>
    <dgm:cxn modelId="{16731212-06EA-4BBE-812E-DD6DB5C9C98C}" type="presParOf" srcId="{05080593-A2ED-4379-91EC-55846B4CD50F}" destId="{6BAFA004-7462-4BB3-8CF7-8F0FAE532698}" srcOrd="0" destOrd="0" presId="urn:microsoft.com/office/officeart/2005/8/layout/orgChart1"/>
    <dgm:cxn modelId="{D73ADA14-7D0D-44AD-9B6C-616645AF3626}" type="presParOf" srcId="{05080593-A2ED-4379-91EC-55846B4CD50F}" destId="{C0FC47CA-1988-459D-A473-7CA219823B7E}" srcOrd="1" destOrd="0" presId="urn:microsoft.com/office/officeart/2005/8/layout/orgChart1"/>
    <dgm:cxn modelId="{B4E9CBC1-6BCA-4177-9BF4-F8A933C559BD}" type="presParOf" srcId="{FEB3D90E-42D2-4AC7-9CB5-35870C299752}" destId="{7C2A8F67-B35D-46B9-8CDC-F1C514C733F2}" srcOrd="1" destOrd="0" presId="urn:microsoft.com/office/officeart/2005/8/layout/orgChart1"/>
    <dgm:cxn modelId="{43200C7E-5098-4EB6-9B57-F63C2EACE628}" type="presParOf" srcId="{FEB3D90E-42D2-4AC7-9CB5-35870C299752}" destId="{0D223CD7-96A9-487A-A2F6-A9D48710FA30}" srcOrd="2" destOrd="0" presId="urn:microsoft.com/office/officeart/2005/8/layout/orgChart1"/>
    <dgm:cxn modelId="{1874F35E-5383-4BBD-A724-556040B27330}" type="presParOf" srcId="{977D3813-5412-42A7-8B4D-5447A06AC163}" destId="{679EAA6C-B7F9-45B1-B314-064B1497E450}" srcOrd="2" destOrd="0" presId="urn:microsoft.com/office/officeart/2005/8/layout/orgChart1"/>
    <dgm:cxn modelId="{380344C2-5564-4AFE-A8CE-7319C8B9FB1B}" type="presParOf" srcId="{977D3813-5412-42A7-8B4D-5447A06AC163}" destId="{A65D9E2F-0DF0-4606-978F-4875BE6D73B0}" srcOrd="3" destOrd="0" presId="urn:microsoft.com/office/officeart/2005/8/layout/orgChart1"/>
    <dgm:cxn modelId="{C130EC47-7864-4C0D-99E7-9CFFD1D49836}" type="presParOf" srcId="{A65D9E2F-0DF0-4606-978F-4875BE6D73B0}" destId="{6AF48B43-38E1-44C8-962D-77020524A35A}" srcOrd="0" destOrd="0" presId="urn:microsoft.com/office/officeart/2005/8/layout/orgChart1"/>
    <dgm:cxn modelId="{13289D56-19F0-428D-B184-6E4DF9DCD813}" type="presParOf" srcId="{6AF48B43-38E1-44C8-962D-77020524A35A}" destId="{8214640F-5D66-49B2-997F-5F320E255B10}" srcOrd="0" destOrd="0" presId="urn:microsoft.com/office/officeart/2005/8/layout/orgChart1"/>
    <dgm:cxn modelId="{41EA2354-4E25-4711-B75F-06E05AF7139B}" type="presParOf" srcId="{6AF48B43-38E1-44C8-962D-77020524A35A}" destId="{2B3E1A31-C7DC-446D-8815-E4813D3B56B4}" srcOrd="1" destOrd="0" presId="urn:microsoft.com/office/officeart/2005/8/layout/orgChart1"/>
    <dgm:cxn modelId="{A90C9612-1912-4F04-8B10-F13187BB7E43}" type="presParOf" srcId="{A65D9E2F-0DF0-4606-978F-4875BE6D73B0}" destId="{360721A3-6E7E-4BAF-9E41-ACAEBFCAE7AE}" srcOrd="1" destOrd="0" presId="urn:microsoft.com/office/officeart/2005/8/layout/orgChart1"/>
    <dgm:cxn modelId="{AC5AF2C9-0D57-47E4-9528-786CC5AD9FFC}" type="presParOf" srcId="{A65D9E2F-0DF0-4606-978F-4875BE6D73B0}" destId="{5DADC705-AA0C-45D6-969F-EB7762223FA5}" srcOrd="2" destOrd="0" presId="urn:microsoft.com/office/officeart/2005/8/layout/orgChart1"/>
    <dgm:cxn modelId="{AE139607-DDC9-4688-B238-FD945180775C}" type="presParOf" srcId="{977D3813-5412-42A7-8B4D-5447A06AC163}" destId="{52777498-AA74-4FC2-849F-C626B27A45B4}" srcOrd="4" destOrd="0" presId="urn:microsoft.com/office/officeart/2005/8/layout/orgChart1"/>
    <dgm:cxn modelId="{7B9F6543-286F-4FF4-996C-3EB407699B6C}" type="presParOf" srcId="{977D3813-5412-42A7-8B4D-5447A06AC163}" destId="{9ED8E56C-C0DA-4771-B928-9B8BF0AE6D47}" srcOrd="5" destOrd="0" presId="urn:microsoft.com/office/officeart/2005/8/layout/orgChart1"/>
    <dgm:cxn modelId="{D1E70D9F-6B61-42E9-B9D8-F0430F08CEB8}" type="presParOf" srcId="{9ED8E56C-C0DA-4771-B928-9B8BF0AE6D47}" destId="{866E3ED8-98DF-4099-A051-59DBAC27FD71}" srcOrd="0" destOrd="0" presId="urn:microsoft.com/office/officeart/2005/8/layout/orgChart1"/>
    <dgm:cxn modelId="{435E22A6-6B12-4307-8D21-A4DFC2C374C4}" type="presParOf" srcId="{866E3ED8-98DF-4099-A051-59DBAC27FD71}" destId="{0CE7C8B4-F8E6-429D-8C4A-73E9D60DCB81}" srcOrd="0" destOrd="0" presId="urn:microsoft.com/office/officeart/2005/8/layout/orgChart1"/>
    <dgm:cxn modelId="{83B965FF-0EF2-4F3F-9E0E-00FFA858D730}" type="presParOf" srcId="{866E3ED8-98DF-4099-A051-59DBAC27FD71}" destId="{7568918C-FAD7-4B9E-9AFD-52C33DE56813}" srcOrd="1" destOrd="0" presId="urn:microsoft.com/office/officeart/2005/8/layout/orgChart1"/>
    <dgm:cxn modelId="{FDCB68EF-8FAC-4AEE-8677-F2D28F682FD3}" type="presParOf" srcId="{9ED8E56C-C0DA-4771-B928-9B8BF0AE6D47}" destId="{E194985F-1898-4344-BB7D-4D437304ED4A}" srcOrd="1" destOrd="0" presId="urn:microsoft.com/office/officeart/2005/8/layout/orgChart1"/>
    <dgm:cxn modelId="{9C42EC4E-98C6-4CBE-9EE7-69111EE30B72}" type="presParOf" srcId="{9ED8E56C-C0DA-4771-B928-9B8BF0AE6D47}" destId="{39195D1C-2951-43BA-8692-AC232BEFBB80}" srcOrd="2" destOrd="0" presId="urn:microsoft.com/office/officeart/2005/8/layout/orgChart1"/>
    <dgm:cxn modelId="{614842A3-F0CE-4F6A-81F8-8F24686AEF50}" type="presParOf" srcId="{F9117AA4-539E-4EE3-B164-8174B0B40EC0}" destId="{C8F70C14-7D89-44D7-BB48-3CFE36D1427B}" srcOrd="2" destOrd="0" presId="urn:microsoft.com/office/officeart/2005/8/layout/orgChart1"/>
    <dgm:cxn modelId="{C907E2D6-33AB-482C-B743-AE7615063DD1}" type="presParOf" srcId="{7F944FE0-D2A2-405B-BDFF-D1897631706E}" destId="{82E60BB5-7FD2-4219-AE7C-29971BDCB4BB}" srcOrd="12" destOrd="0" presId="urn:microsoft.com/office/officeart/2005/8/layout/orgChart1"/>
    <dgm:cxn modelId="{DB7CE798-4382-4380-A167-79830B84C402}" type="presParOf" srcId="{7F944FE0-D2A2-405B-BDFF-D1897631706E}" destId="{A7850FBB-26BD-4AD2-A515-BD8832D8474B}" srcOrd="13" destOrd="0" presId="urn:microsoft.com/office/officeart/2005/8/layout/orgChart1"/>
    <dgm:cxn modelId="{0E32880C-1336-4D00-A633-0B826051E2FD}" type="presParOf" srcId="{A7850FBB-26BD-4AD2-A515-BD8832D8474B}" destId="{4B54CD39-71A9-47B6-B354-9E2E224A5749}" srcOrd="0" destOrd="0" presId="urn:microsoft.com/office/officeart/2005/8/layout/orgChart1"/>
    <dgm:cxn modelId="{D866C402-4E53-4D39-986B-1B777D6CFDD6}" type="presParOf" srcId="{4B54CD39-71A9-47B6-B354-9E2E224A5749}" destId="{9A681887-5350-4EBE-BD43-C7E4297AB1BB}" srcOrd="0" destOrd="0" presId="urn:microsoft.com/office/officeart/2005/8/layout/orgChart1"/>
    <dgm:cxn modelId="{E39456E2-019D-4676-A428-847482F5C95F}" type="presParOf" srcId="{4B54CD39-71A9-47B6-B354-9E2E224A5749}" destId="{14354306-A96D-4F9B-B8CB-A1923889D20A}" srcOrd="1" destOrd="0" presId="urn:microsoft.com/office/officeart/2005/8/layout/orgChart1"/>
    <dgm:cxn modelId="{E46856CC-C6A0-476C-8569-81382005C0E5}" type="presParOf" srcId="{A7850FBB-26BD-4AD2-A515-BD8832D8474B}" destId="{60EE685C-BCD2-4AF8-9900-DC7BE1C8761E}" srcOrd="1" destOrd="0" presId="urn:microsoft.com/office/officeart/2005/8/layout/orgChart1"/>
    <dgm:cxn modelId="{8767A536-B3F9-41C8-AE90-F2A60780DE6B}" type="presParOf" srcId="{60EE685C-BCD2-4AF8-9900-DC7BE1C8761E}" destId="{6185FE85-F6F3-47C8-BC28-BFB1B081D47E}" srcOrd="0" destOrd="0" presId="urn:microsoft.com/office/officeart/2005/8/layout/orgChart1"/>
    <dgm:cxn modelId="{E3B3DF91-D2BA-4AC9-A1CA-C82C48186F37}" type="presParOf" srcId="{60EE685C-BCD2-4AF8-9900-DC7BE1C8761E}" destId="{8116A3A0-2E0B-4D77-B5A2-B6CBCF7ADB15}" srcOrd="1" destOrd="0" presId="urn:microsoft.com/office/officeart/2005/8/layout/orgChart1"/>
    <dgm:cxn modelId="{66345AC3-AB78-4F16-9932-8C939ECEB4AB}" type="presParOf" srcId="{8116A3A0-2E0B-4D77-B5A2-B6CBCF7ADB15}" destId="{81199921-AF0E-4033-957C-9C1B01D1C91B}" srcOrd="0" destOrd="0" presId="urn:microsoft.com/office/officeart/2005/8/layout/orgChart1"/>
    <dgm:cxn modelId="{31859D6F-1F18-469C-B68B-56F4B85B8641}" type="presParOf" srcId="{81199921-AF0E-4033-957C-9C1B01D1C91B}" destId="{A4073290-40FA-4447-A63D-A2A271E69369}" srcOrd="0" destOrd="0" presId="urn:microsoft.com/office/officeart/2005/8/layout/orgChart1"/>
    <dgm:cxn modelId="{0F4E58AB-0ED1-40A7-9115-3308EAA0D8BE}" type="presParOf" srcId="{81199921-AF0E-4033-957C-9C1B01D1C91B}" destId="{8DE7EDC3-030C-4699-90B7-316F8F127CEA}" srcOrd="1" destOrd="0" presId="urn:microsoft.com/office/officeart/2005/8/layout/orgChart1"/>
    <dgm:cxn modelId="{4377DD22-1C9B-475C-A34B-0D1AE36503C3}" type="presParOf" srcId="{8116A3A0-2E0B-4D77-B5A2-B6CBCF7ADB15}" destId="{8EE53B03-8214-420C-9321-FEE828B4616A}" srcOrd="1" destOrd="0" presId="urn:microsoft.com/office/officeart/2005/8/layout/orgChart1"/>
    <dgm:cxn modelId="{1EAF1539-3F3A-4638-8F22-C09C6CF2E203}" type="presParOf" srcId="{8116A3A0-2E0B-4D77-B5A2-B6CBCF7ADB15}" destId="{CAF7050B-39E0-4667-AEBF-9E47F60B4B83}" srcOrd="2" destOrd="0" presId="urn:microsoft.com/office/officeart/2005/8/layout/orgChart1"/>
    <dgm:cxn modelId="{8EE5CBB7-1625-48F7-ABA7-D969671D0F8E}" type="presParOf" srcId="{60EE685C-BCD2-4AF8-9900-DC7BE1C8761E}" destId="{BA5F9E80-3D5F-4248-9517-86F91EE0B8E9}" srcOrd="2" destOrd="0" presId="urn:microsoft.com/office/officeart/2005/8/layout/orgChart1"/>
    <dgm:cxn modelId="{E8FC6515-C9CE-48B2-93F6-D7D9D2442B0F}" type="presParOf" srcId="{60EE685C-BCD2-4AF8-9900-DC7BE1C8761E}" destId="{352CBE99-8B60-4598-A01C-4B9A74376B3F}" srcOrd="3" destOrd="0" presId="urn:microsoft.com/office/officeart/2005/8/layout/orgChart1"/>
    <dgm:cxn modelId="{49F418D1-1E3C-49C6-A251-D890C0A41A03}" type="presParOf" srcId="{352CBE99-8B60-4598-A01C-4B9A74376B3F}" destId="{DC9B8021-D8A5-43E4-AC56-C6AE77A81C33}" srcOrd="0" destOrd="0" presId="urn:microsoft.com/office/officeart/2005/8/layout/orgChart1"/>
    <dgm:cxn modelId="{91E7F17E-CB7B-485D-A580-6A3FF09CFBA8}" type="presParOf" srcId="{DC9B8021-D8A5-43E4-AC56-C6AE77A81C33}" destId="{CC7BE9CC-9E44-4B05-9B0E-850124C3547A}" srcOrd="0" destOrd="0" presId="urn:microsoft.com/office/officeart/2005/8/layout/orgChart1"/>
    <dgm:cxn modelId="{5C0814DB-5981-45F3-9BB1-F801BCBED83E}" type="presParOf" srcId="{DC9B8021-D8A5-43E4-AC56-C6AE77A81C33}" destId="{521FEAC1-E658-4130-BFDF-12AE10471782}" srcOrd="1" destOrd="0" presId="urn:microsoft.com/office/officeart/2005/8/layout/orgChart1"/>
    <dgm:cxn modelId="{26FE3B7D-8F01-4D23-9F7C-15C1BD13A40B}" type="presParOf" srcId="{352CBE99-8B60-4598-A01C-4B9A74376B3F}" destId="{2E10A84D-28AC-4389-B262-EEC5AC14DF6E}" srcOrd="1" destOrd="0" presId="urn:microsoft.com/office/officeart/2005/8/layout/orgChart1"/>
    <dgm:cxn modelId="{130AE3F7-4532-4C44-8910-5F769B5B90FB}" type="presParOf" srcId="{352CBE99-8B60-4598-A01C-4B9A74376B3F}" destId="{96841731-AA54-4777-9CA5-E03DBB960C6B}" srcOrd="2" destOrd="0" presId="urn:microsoft.com/office/officeart/2005/8/layout/orgChart1"/>
    <dgm:cxn modelId="{A32B1028-0252-4B6C-BF91-2EDBC92F3B1C}" type="presParOf" srcId="{60EE685C-BCD2-4AF8-9900-DC7BE1C8761E}" destId="{86E8989D-6C94-463D-9588-B288E8BD09F3}" srcOrd="4" destOrd="0" presId="urn:microsoft.com/office/officeart/2005/8/layout/orgChart1"/>
    <dgm:cxn modelId="{CA64CD74-9961-48F5-BDFE-319850C020F8}" type="presParOf" srcId="{60EE685C-BCD2-4AF8-9900-DC7BE1C8761E}" destId="{897D0B9E-933E-4446-B30B-688525330F47}" srcOrd="5" destOrd="0" presId="urn:microsoft.com/office/officeart/2005/8/layout/orgChart1"/>
    <dgm:cxn modelId="{0C019D09-9587-4C02-9261-757BB0391560}" type="presParOf" srcId="{897D0B9E-933E-4446-B30B-688525330F47}" destId="{70461A7E-F756-462D-8D14-C27FED726120}" srcOrd="0" destOrd="0" presId="urn:microsoft.com/office/officeart/2005/8/layout/orgChart1"/>
    <dgm:cxn modelId="{7C7723DD-7D5A-4B26-9ACE-E1B461BAB746}" type="presParOf" srcId="{70461A7E-F756-462D-8D14-C27FED726120}" destId="{55EC4157-21BA-4613-8860-42E031585862}" srcOrd="0" destOrd="0" presId="urn:microsoft.com/office/officeart/2005/8/layout/orgChart1"/>
    <dgm:cxn modelId="{BEEC362F-F0D8-4BE1-881D-FBD88C05AF71}" type="presParOf" srcId="{70461A7E-F756-462D-8D14-C27FED726120}" destId="{ABCA2F01-C14C-4548-BBBB-84ED0283C97F}" srcOrd="1" destOrd="0" presId="urn:microsoft.com/office/officeart/2005/8/layout/orgChart1"/>
    <dgm:cxn modelId="{3416BE31-E451-4F6A-B193-3520A4E6AA55}" type="presParOf" srcId="{897D0B9E-933E-4446-B30B-688525330F47}" destId="{E67A4277-2D09-4FAD-9002-FF01C2B652C7}" srcOrd="1" destOrd="0" presId="urn:microsoft.com/office/officeart/2005/8/layout/orgChart1"/>
    <dgm:cxn modelId="{6AC872CB-6562-440F-9AD4-2D48F8FA5E6A}" type="presParOf" srcId="{897D0B9E-933E-4446-B30B-688525330F47}" destId="{6BF51E8D-76E3-4BD5-82A3-F693AB920637}" srcOrd="2" destOrd="0" presId="urn:microsoft.com/office/officeart/2005/8/layout/orgChart1"/>
    <dgm:cxn modelId="{2424F2C3-7709-48AC-A749-05DADFA9EB68}" type="presParOf" srcId="{A7850FBB-26BD-4AD2-A515-BD8832D8474B}" destId="{77E6A972-0C83-4850-8B51-4CF832FCB47F}" srcOrd="2" destOrd="0" presId="urn:microsoft.com/office/officeart/2005/8/layout/orgChart1"/>
    <dgm:cxn modelId="{B79D53A3-0CB7-407E-A638-1E24E3693C66}" type="presParOf" srcId="{7F944FE0-D2A2-405B-BDFF-D1897631706E}" destId="{49BBEE1F-49A6-44E1-A345-C8E578BB25F4}" srcOrd="14" destOrd="0" presId="urn:microsoft.com/office/officeart/2005/8/layout/orgChart1"/>
    <dgm:cxn modelId="{6A62BFFC-7FC0-4A6E-8124-A148C9D68187}" type="presParOf" srcId="{7F944FE0-D2A2-405B-BDFF-D1897631706E}" destId="{4B3DE7AC-FD92-4B28-A798-48F5F51A9E1A}" srcOrd="15" destOrd="0" presId="urn:microsoft.com/office/officeart/2005/8/layout/orgChart1"/>
    <dgm:cxn modelId="{0874FD0B-1424-4DBF-83BE-B7D0EA1C3150}" type="presParOf" srcId="{4B3DE7AC-FD92-4B28-A798-48F5F51A9E1A}" destId="{194BE11B-C325-4257-BB90-7B2EB6E82E60}" srcOrd="0" destOrd="0" presId="urn:microsoft.com/office/officeart/2005/8/layout/orgChart1"/>
    <dgm:cxn modelId="{3C0CE934-30C0-4688-959D-71CF174EECEC}" type="presParOf" srcId="{194BE11B-C325-4257-BB90-7B2EB6E82E60}" destId="{31EB5587-12D6-4963-92EA-B8DD5F2E0388}" srcOrd="0" destOrd="0" presId="urn:microsoft.com/office/officeart/2005/8/layout/orgChart1"/>
    <dgm:cxn modelId="{DE797CE1-871F-45F5-9C6B-29908F0D6295}" type="presParOf" srcId="{194BE11B-C325-4257-BB90-7B2EB6E82E60}" destId="{E171FEA6-442B-491D-88C9-58A0237D3D45}" srcOrd="1" destOrd="0" presId="urn:microsoft.com/office/officeart/2005/8/layout/orgChart1"/>
    <dgm:cxn modelId="{CE9FABA6-44CC-4DAB-8A2D-FF37B564940D}" type="presParOf" srcId="{4B3DE7AC-FD92-4B28-A798-48F5F51A9E1A}" destId="{C94AC487-ECFA-4C9E-BD3E-99F7078170F3}" srcOrd="1" destOrd="0" presId="urn:microsoft.com/office/officeart/2005/8/layout/orgChart1"/>
    <dgm:cxn modelId="{5384D9E3-CF0A-4C34-924F-3C04BA8A275E}" type="presParOf" srcId="{C94AC487-ECFA-4C9E-BD3E-99F7078170F3}" destId="{0338A758-AC60-4044-A1E3-08F8B7063D50}" srcOrd="0" destOrd="0" presId="urn:microsoft.com/office/officeart/2005/8/layout/orgChart1"/>
    <dgm:cxn modelId="{FC70F6E8-9EAE-4DE6-A5F1-52F4DAC1C270}" type="presParOf" srcId="{C94AC487-ECFA-4C9E-BD3E-99F7078170F3}" destId="{05270D9B-6556-4EBE-8481-8B9B8C473A22}" srcOrd="1" destOrd="0" presId="urn:microsoft.com/office/officeart/2005/8/layout/orgChart1"/>
    <dgm:cxn modelId="{43F924F5-0214-4EA6-8DB2-90B46221422E}" type="presParOf" srcId="{05270D9B-6556-4EBE-8481-8B9B8C473A22}" destId="{AF1EEEAA-1463-4E49-BEB5-9E3C1766B228}" srcOrd="0" destOrd="0" presId="urn:microsoft.com/office/officeart/2005/8/layout/orgChart1"/>
    <dgm:cxn modelId="{7CED91F5-5897-42B2-913B-EB2D9B41D247}" type="presParOf" srcId="{AF1EEEAA-1463-4E49-BEB5-9E3C1766B228}" destId="{131658AD-CAD5-4F1C-8251-78F6ED9857F2}" srcOrd="0" destOrd="0" presId="urn:microsoft.com/office/officeart/2005/8/layout/orgChart1"/>
    <dgm:cxn modelId="{6FE3D611-ECC3-47AF-BFF7-7AFE358E6162}" type="presParOf" srcId="{AF1EEEAA-1463-4E49-BEB5-9E3C1766B228}" destId="{7A2A2975-FC17-4DBC-99A9-1D31427F9426}" srcOrd="1" destOrd="0" presId="urn:microsoft.com/office/officeart/2005/8/layout/orgChart1"/>
    <dgm:cxn modelId="{49FA520C-CDD2-46A1-8E91-C95E3E7986C3}" type="presParOf" srcId="{05270D9B-6556-4EBE-8481-8B9B8C473A22}" destId="{9D28F061-4D5C-4A48-AE24-FEAF5C6DF2F3}" srcOrd="1" destOrd="0" presId="urn:microsoft.com/office/officeart/2005/8/layout/orgChart1"/>
    <dgm:cxn modelId="{09B0F5CB-63EF-47B7-8EF4-67022A08EC9F}" type="presParOf" srcId="{05270D9B-6556-4EBE-8481-8B9B8C473A22}" destId="{CB0DE3BC-27F2-4B11-BDE9-A04DBEF2E58D}" srcOrd="2" destOrd="0" presId="urn:microsoft.com/office/officeart/2005/8/layout/orgChart1"/>
    <dgm:cxn modelId="{48C0A5CB-AF5F-42B7-9ED7-0D3714D17FA6}" type="presParOf" srcId="{C94AC487-ECFA-4C9E-BD3E-99F7078170F3}" destId="{FD85A210-F679-4B06-B7F2-FEE1A47869E6}" srcOrd="2" destOrd="0" presId="urn:microsoft.com/office/officeart/2005/8/layout/orgChart1"/>
    <dgm:cxn modelId="{B873B0A9-4B31-4B2B-9FC9-DF851470B6C9}" type="presParOf" srcId="{C94AC487-ECFA-4C9E-BD3E-99F7078170F3}" destId="{B3073C7C-9B38-40D6-9002-0D9F23A98B00}" srcOrd="3" destOrd="0" presId="urn:microsoft.com/office/officeart/2005/8/layout/orgChart1"/>
    <dgm:cxn modelId="{3B3BE0CF-014D-4B9F-8B11-1FD400323873}" type="presParOf" srcId="{B3073C7C-9B38-40D6-9002-0D9F23A98B00}" destId="{9874ABE4-1EEE-478B-96FD-537F4626D13E}" srcOrd="0" destOrd="0" presId="urn:microsoft.com/office/officeart/2005/8/layout/orgChart1"/>
    <dgm:cxn modelId="{6B08D3F4-A020-4A3C-8702-2B522FB0EDFC}" type="presParOf" srcId="{9874ABE4-1EEE-478B-96FD-537F4626D13E}" destId="{ED5114CC-A71F-4EF9-8C9A-BF469EED5FE3}" srcOrd="0" destOrd="0" presId="urn:microsoft.com/office/officeart/2005/8/layout/orgChart1"/>
    <dgm:cxn modelId="{736B1D26-44F9-48D6-A02C-FE3C41293AEB}" type="presParOf" srcId="{9874ABE4-1EEE-478B-96FD-537F4626D13E}" destId="{171ED896-7D9C-4E74-8D5B-3416D3651E80}" srcOrd="1" destOrd="0" presId="urn:microsoft.com/office/officeart/2005/8/layout/orgChart1"/>
    <dgm:cxn modelId="{1F3F5F93-EDDB-44FE-AB78-50F6AA5311B3}" type="presParOf" srcId="{B3073C7C-9B38-40D6-9002-0D9F23A98B00}" destId="{9BB24D49-02A9-4A98-B5D0-0E18CB5DF66D}" srcOrd="1" destOrd="0" presId="urn:microsoft.com/office/officeart/2005/8/layout/orgChart1"/>
    <dgm:cxn modelId="{42F5B12F-E071-4978-97F4-7E5F8236F886}" type="presParOf" srcId="{B3073C7C-9B38-40D6-9002-0D9F23A98B00}" destId="{587CFC57-2050-473A-B57D-467DFCAF4DC4}" srcOrd="2" destOrd="0" presId="urn:microsoft.com/office/officeart/2005/8/layout/orgChart1"/>
    <dgm:cxn modelId="{638E0C7D-1C23-46A2-8540-E31194C6440F}" type="presParOf" srcId="{C94AC487-ECFA-4C9E-BD3E-99F7078170F3}" destId="{27B4D937-B823-4539-9700-0B38BD80979F}" srcOrd="4" destOrd="0" presId="urn:microsoft.com/office/officeart/2005/8/layout/orgChart1"/>
    <dgm:cxn modelId="{73977A06-1853-4AC2-9219-35DE66F46013}" type="presParOf" srcId="{C94AC487-ECFA-4C9E-BD3E-99F7078170F3}" destId="{4B10732E-FEEB-4504-ACEE-34E4D7E3FECE}" srcOrd="5" destOrd="0" presId="urn:microsoft.com/office/officeart/2005/8/layout/orgChart1"/>
    <dgm:cxn modelId="{3663A6DC-7726-470A-98FA-2BFEC038FED1}" type="presParOf" srcId="{4B10732E-FEEB-4504-ACEE-34E4D7E3FECE}" destId="{0286D38A-9BA6-4344-8222-83C122D6CA5B}" srcOrd="0" destOrd="0" presId="urn:microsoft.com/office/officeart/2005/8/layout/orgChart1"/>
    <dgm:cxn modelId="{1DF3190E-1EA2-4B55-AD2D-31862827C754}" type="presParOf" srcId="{0286D38A-9BA6-4344-8222-83C122D6CA5B}" destId="{6D6838A9-157D-4D38-8F74-04F46BCF8562}" srcOrd="0" destOrd="0" presId="urn:microsoft.com/office/officeart/2005/8/layout/orgChart1"/>
    <dgm:cxn modelId="{719ECAB1-500E-4CDE-B860-95F2C5DD668E}" type="presParOf" srcId="{0286D38A-9BA6-4344-8222-83C122D6CA5B}" destId="{4A5DA958-178F-4732-8078-243D8DE53D28}" srcOrd="1" destOrd="0" presId="urn:microsoft.com/office/officeart/2005/8/layout/orgChart1"/>
    <dgm:cxn modelId="{D099D3F7-E9BB-4C7F-BAC8-077401EE5D61}" type="presParOf" srcId="{4B10732E-FEEB-4504-ACEE-34E4D7E3FECE}" destId="{F687D250-ECAC-4B02-BE10-10EA2A098F5A}" srcOrd="1" destOrd="0" presId="urn:microsoft.com/office/officeart/2005/8/layout/orgChart1"/>
    <dgm:cxn modelId="{E2D0002C-2D34-4942-AC2E-88DD170A232A}" type="presParOf" srcId="{4B10732E-FEEB-4504-ACEE-34E4D7E3FECE}" destId="{AB93E65C-E805-46E7-9213-108B44B6FF2C}" srcOrd="2" destOrd="0" presId="urn:microsoft.com/office/officeart/2005/8/layout/orgChart1"/>
    <dgm:cxn modelId="{2A98B529-057D-4F0F-B93C-2C747F3CED38}" type="presParOf" srcId="{C94AC487-ECFA-4C9E-BD3E-99F7078170F3}" destId="{E16844FD-9BC7-4ECB-AB2E-71E7696E96C8}" srcOrd="6" destOrd="0" presId="urn:microsoft.com/office/officeart/2005/8/layout/orgChart1"/>
    <dgm:cxn modelId="{F01EB949-4AD0-4184-964E-6A79EB39B349}" type="presParOf" srcId="{C94AC487-ECFA-4C9E-BD3E-99F7078170F3}" destId="{99F29600-13B6-4A73-BB90-12FB9E2ED0FC}" srcOrd="7" destOrd="0" presId="urn:microsoft.com/office/officeart/2005/8/layout/orgChart1"/>
    <dgm:cxn modelId="{0266691D-CDC7-44F9-9254-A8478C038AA9}" type="presParOf" srcId="{99F29600-13B6-4A73-BB90-12FB9E2ED0FC}" destId="{D7A6E2FC-4D48-40B4-8129-2A4668D7190D}" srcOrd="0" destOrd="0" presId="urn:microsoft.com/office/officeart/2005/8/layout/orgChart1"/>
    <dgm:cxn modelId="{D10393BF-1678-4595-890D-B3616E989359}" type="presParOf" srcId="{D7A6E2FC-4D48-40B4-8129-2A4668D7190D}" destId="{548BBFAF-9972-4B32-BF41-8B8A21C1D17D}" srcOrd="0" destOrd="0" presId="urn:microsoft.com/office/officeart/2005/8/layout/orgChart1"/>
    <dgm:cxn modelId="{7E03DFE4-252C-4A37-8452-C7948E7916EE}" type="presParOf" srcId="{D7A6E2FC-4D48-40B4-8129-2A4668D7190D}" destId="{7E6FC3EA-E3FC-40C4-BC58-D6E04C665F98}" srcOrd="1" destOrd="0" presId="urn:microsoft.com/office/officeart/2005/8/layout/orgChart1"/>
    <dgm:cxn modelId="{0FFB2754-5AD9-4FDA-A4F6-462F2759205B}" type="presParOf" srcId="{99F29600-13B6-4A73-BB90-12FB9E2ED0FC}" destId="{619EE208-720F-42BB-88BF-A0CB370929C3}" srcOrd="1" destOrd="0" presId="urn:microsoft.com/office/officeart/2005/8/layout/orgChart1"/>
    <dgm:cxn modelId="{0DCC9A8A-7ED8-4A0B-864D-71084DCF594C}" type="presParOf" srcId="{99F29600-13B6-4A73-BB90-12FB9E2ED0FC}" destId="{B7B2883B-FA2B-4B05-898F-E1CA46A6CE07}" srcOrd="2" destOrd="0" presId="urn:microsoft.com/office/officeart/2005/8/layout/orgChart1"/>
    <dgm:cxn modelId="{B5553D5D-896D-4F4A-B042-74D27826DD28}" type="presParOf" srcId="{4B3DE7AC-FD92-4B28-A798-48F5F51A9E1A}" destId="{F31A5990-A10A-49F7-84EC-C1409B257F98}" srcOrd="2" destOrd="0" presId="urn:microsoft.com/office/officeart/2005/8/layout/orgChart1"/>
    <dgm:cxn modelId="{9AB3537C-8857-4F5A-93FF-1EF9293FD52B}" type="presParOf" srcId="{0A189367-43EC-4441-BA08-750B899E9469}" destId="{3B9D5E95-1320-46BA-A01E-BC0D01F0FFE2}"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16844FD-9BC7-4ECB-AB2E-71E7696E96C8}">
      <dsp:nvSpPr>
        <dsp:cNvPr id="0" name=""/>
        <dsp:cNvSpPr/>
      </dsp:nvSpPr>
      <dsp:spPr>
        <a:xfrm>
          <a:off x="13874833" y="1469458"/>
          <a:ext cx="104397" cy="2900921"/>
        </a:xfrm>
        <a:custGeom>
          <a:avLst/>
          <a:gdLst/>
          <a:ahLst/>
          <a:cxnLst/>
          <a:rect l="0" t="0" r="0" b="0"/>
          <a:pathLst>
            <a:path>
              <a:moveTo>
                <a:pt x="0" y="0"/>
              </a:moveTo>
              <a:lnTo>
                <a:pt x="0" y="2900921"/>
              </a:lnTo>
              <a:lnTo>
                <a:pt x="104397" y="290092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7B4D937-B823-4539-9700-0B38BD80979F}">
      <dsp:nvSpPr>
        <dsp:cNvPr id="0" name=""/>
        <dsp:cNvSpPr/>
      </dsp:nvSpPr>
      <dsp:spPr>
        <a:xfrm>
          <a:off x="13874833" y="1469458"/>
          <a:ext cx="104397" cy="2114565"/>
        </a:xfrm>
        <a:custGeom>
          <a:avLst/>
          <a:gdLst/>
          <a:ahLst/>
          <a:cxnLst/>
          <a:rect l="0" t="0" r="0" b="0"/>
          <a:pathLst>
            <a:path>
              <a:moveTo>
                <a:pt x="0" y="0"/>
              </a:moveTo>
              <a:lnTo>
                <a:pt x="0" y="2114565"/>
              </a:lnTo>
              <a:lnTo>
                <a:pt x="104397" y="211456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D85A210-F679-4B06-B7F2-FEE1A47869E6}">
      <dsp:nvSpPr>
        <dsp:cNvPr id="0" name=""/>
        <dsp:cNvSpPr/>
      </dsp:nvSpPr>
      <dsp:spPr>
        <a:xfrm>
          <a:off x="13874833" y="1469458"/>
          <a:ext cx="104397" cy="1328210"/>
        </a:xfrm>
        <a:custGeom>
          <a:avLst/>
          <a:gdLst/>
          <a:ahLst/>
          <a:cxnLst/>
          <a:rect l="0" t="0" r="0" b="0"/>
          <a:pathLst>
            <a:path>
              <a:moveTo>
                <a:pt x="0" y="0"/>
              </a:moveTo>
              <a:lnTo>
                <a:pt x="0" y="1328210"/>
              </a:lnTo>
              <a:lnTo>
                <a:pt x="104397" y="1328210"/>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338A758-AC60-4044-A1E3-08F8B7063D50}">
      <dsp:nvSpPr>
        <dsp:cNvPr id="0" name=""/>
        <dsp:cNvSpPr/>
      </dsp:nvSpPr>
      <dsp:spPr>
        <a:xfrm>
          <a:off x="13874833" y="1469458"/>
          <a:ext cx="104397" cy="541854"/>
        </a:xfrm>
        <a:custGeom>
          <a:avLst/>
          <a:gdLst/>
          <a:ahLst/>
          <a:cxnLst/>
          <a:rect l="0" t="0" r="0" b="0"/>
          <a:pathLst>
            <a:path>
              <a:moveTo>
                <a:pt x="0" y="0"/>
              </a:moveTo>
              <a:lnTo>
                <a:pt x="0" y="541854"/>
              </a:lnTo>
              <a:lnTo>
                <a:pt x="104397" y="54185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9BBEE1F-49A6-44E1-A345-C8E578BB25F4}">
      <dsp:nvSpPr>
        <dsp:cNvPr id="0" name=""/>
        <dsp:cNvSpPr/>
      </dsp:nvSpPr>
      <dsp:spPr>
        <a:xfrm>
          <a:off x="7425902" y="713324"/>
          <a:ext cx="6891947" cy="202362"/>
        </a:xfrm>
        <a:custGeom>
          <a:avLst/>
          <a:gdLst/>
          <a:ahLst/>
          <a:cxnLst/>
          <a:rect l="0" t="0" r="0" b="0"/>
          <a:pathLst>
            <a:path>
              <a:moveTo>
                <a:pt x="0" y="0"/>
              </a:moveTo>
              <a:lnTo>
                <a:pt x="0" y="86070"/>
              </a:lnTo>
              <a:lnTo>
                <a:pt x="6891947" y="86070"/>
              </a:lnTo>
              <a:lnTo>
                <a:pt x="6891947" y="20236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E8989D-6C94-463D-9588-B288E8BD09F3}">
      <dsp:nvSpPr>
        <dsp:cNvPr id="0" name=""/>
        <dsp:cNvSpPr/>
      </dsp:nvSpPr>
      <dsp:spPr>
        <a:xfrm>
          <a:off x="12534706" y="1469458"/>
          <a:ext cx="156883" cy="2098761"/>
        </a:xfrm>
        <a:custGeom>
          <a:avLst/>
          <a:gdLst/>
          <a:ahLst/>
          <a:cxnLst/>
          <a:rect l="0" t="0" r="0" b="0"/>
          <a:pathLst>
            <a:path>
              <a:moveTo>
                <a:pt x="0" y="0"/>
              </a:moveTo>
              <a:lnTo>
                <a:pt x="0" y="2098761"/>
              </a:lnTo>
              <a:lnTo>
                <a:pt x="156883" y="209876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A5F9E80-3D5F-4248-9517-86F91EE0B8E9}">
      <dsp:nvSpPr>
        <dsp:cNvPr id="0" name=""/>
        <dsp:cNvSpPr/>
      </dsp:nvSpPr>
      <dsp:spPr>
        <a:xfrm>
          <a:off x="12534706" y="1469458"/>
          <a:ext cx="134522" cy="1330065"/>
        </a:xfrm>
        <a:custGeom>
          <a:avLst/>
          <a:gdLst/>
          <a:ahLst/>
          <a:cxnLst/>
          <a:rect l="0" t="0" r="0" b="0"/>
          <a:pathLst>
            <a:path>
              <a:moveTo>
                <a:pt x="0" y="0"/>
              </a:moveTo>
              <a:lnTo>
                <a:pt x="0" y="1330065"/>
              </a:lnTo>
              <a:lnTo>
                <a:pt x="134522" y="133006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185FE85-F6F3-47C8-BC28-BFB1B081D47E}">
      <dsp:nvSpPr>
        <dsp:cNvPr id="0" name=""/>
        <dsp:cNvSpPr/>
      </dsp:nvSpPr>
      <dsp:spPr>
        <a:xfrm>
          <a:off x="12534706" y="1469458"/>
          <a:ext cx="136393" cy="553959"/>
        </a:xfrm>
        <a:custGeom>
          <a:avLst/>
          <a:gdLst/>
          <a:ahLst/>
          <a:cxnLst/>
          <a:rect l="0" t="0" r="0" b="0"/>
          <a:pathLst>
            <a:path>
              <a:moveTo>
                <a:pt x="0" y="0"/>
              </a:moveTo>
              <a:lnTo>
                <a:pt x="0" y="553959"/>
              </a:lnTo>
              <a:lnTo>
                <a:pt x="136393" y="55395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2E60BB5-7FD2-4219-AE7C-29971BDCB4BB}">
      <dsp:nvSpPr>
        <dsp:cNvPr id="0" name=""/>
        <dsp:cNvSpPr/>
      </dsp:nvSpPr>
      <dsp:spPr>
        <a:xfrm>
          <a:off x="7425902" y="713324"/>
          <a:ext cx="5551820" cy="202362"/>
        </a:xfrm>
        <a:custGeom>
          <a:avLst/>
          <a:gdLst/>
          <a:ahLst/>
          <a:cxnLst/>
          <a:rect l="0" t="0" r="0" b="0"/>
          <a:pathLst>
            <a:path>
              <a:moveTo>
                <a:pt x="0" y="0"/>
              </a:moveTo>
              <a:lnTo>
                <a:pt x="0" y="86070"/>
              </a:lnTo>
              <a:lnTo>
                <a:pt x="5551820" y="86070"/>
              </a:lnTo>
              <a:lnTo>
                <a:pt x="5551820" y="20236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2777498-AA74-4FC2-849F-C626B27A45B4}">
      <dsp:nvSpPr>
        <dsp:cNvPr id="0" name=""/>
        <dsp:cNvSpPr/>
      </dsp:nvSpPr>
      <dsp:spPr>
        <a:xfrm>
          <a:off x="11123786" y="1455502"/>
          <a:ext cx="153569" cy="2113557"/>
        </a:xfrm>
        <a:custGeom>
          <a:avLst/>
          <a:gdLst/>
          <a:ahLst/>
          <a:cxnLst/>
          <a:rect l="0" t="0" r="0" b="0"/>
          <a:pathLst>
            <a:path>
              <a:moveTo>
                <a:pt x="0" y="0"/>
              </a:moveTo>
              <a:lnTo>
                <a:pt x="0" y="2113557"/>
              </a:lnTo>
              <a:lnTo>
                <a:pt x="153569" y="211355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79EAA6C-B7F9-45B1-B314-064B1497E450}">
      <dsp:nvSpPr>
        <dsp:cNvPr id="0" name=""/>
        <dsp:cNvSpPr/>
      </dsp:nvSpPr>
      <dsp:spPr>
        <a:xfrm>
          <a:off x="11123786" y="1455502"/>
          <a:ext cx="158276" cy="1342165"/>
        </a:xfrm>
        <a:custGeom>
          <a:avLst/>
          <a:gdLst/>
          <a:ahLst/>
          <a:cxnLst/>
          <a:rect l="0" t="0" r="0" b="0"/>
          <a:pathLst>
            <a:path>
              <a:moveTo>
                <a:pt x="0" y="0"/>
              </a:moveTo>
              <a:lnTo>
                <a:pt x="0" y="1342165"/>
              </a:lnTo>
              <a:lnTo>
                <a:pt x="158276" y="134216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8FA309A-083A-4C64-9477-7A3C69B2784C}">
      <dsp:nvSpPr>
        <dsp:cNvPr id="0" name=""/>
        <dsp:cNvSpPr/>
      </dsp:nvSpPr>
      <dsp:spPr>
        <a:xfrm>
          <a:off x="11123786" y="1455502"/>
          <a:ext cx="164833" cy="544545"/>
        </a:xfrm>
        <a:custGeom>
          <a:avLst/>
          <a:gdLst/>
          <a:ahLst/>
          <a:cxnLst/>
          <a:rect l="0" t="0" r="0" b="0"/>
          <a:pathLst>
            <a:path>
              <a:moveTo>
                <a:pt x="0" y="0"/>
              </a:moveTo>
              <a:lnTo>
                <a:pt x="0" y="544545"/>
              </a:lnTo>
              <a:lnTo>
                <a:pt x="164833" y="54454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CAB3E94-5855-4109-A43C-7105AD6B26D0}">
      <dsp:nvSpPr>
        <dsp:cNvPr id="0" name=""/>
        <dsp:cNvSpPr/>
      </dsp:nvSpPr>
      <dsp:spPr>
        <a:xfrm>
          <a:off x="7425902" y="713324"/>
          <a:ext cx="4176927" cy="188407"/>
        </a:xfrm>
        <a:custGeom>
          <a:avLst/>
          <a:gdLst/>
          <a:ahLst/>
          <a:cxnLst/>
          <a:rect l="0" t="0" r="0" b="0"/>
          <a:pathLst>
            <a:path>
              <a:moveTo>
                <a:pt x="0" y="0"/>
              </a:moveTo>
              <a:lnTo>
                <a:pt x="0" y="72115"/>
              </a:lnTo>
              <a:lnTo>
                <a:pt x="4176927" y="72115"/>
              </a:lnTo>
              <a:lnTo>
                <a:pt x="4176927" y="188407"/>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37A1297-BF94-4C16-89EC-F9C850AB66AC}">
      <dsp:nvSpPr>
        <dsp:cNvPr id="0" name=""/>
        <dsp:cNvSpPr/>
      </dsp:nvSpPr>
      <dsp:spPr>
        <a:xfrm>
          <a:off x="9615534" y="1488114"/>
          <a:ext cx="207645" cy="2075403"/>
        </a:xfrm>
        <a:custGeom>
          <a:avLst/>
          <a:gdLst/>
          <a:ahLst/>
          <a:cxnLst/>
          <a:rect l="0" t="0" r="0" b="0"/>
          <a:pathLst>
            <a:path>
              <a:moveTo>
                <a:pt x="0" y="0"/>
              </a:moveTo>
              <a:lnTo>
                <a:pt x="0" y="2075403"/>
              </a:lnTo>
              <a:lnTo>
                <a:pt x="207645" y="207540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07FA1CB-C069-4A68-9F5B-ACB3D4C2C7E0}">
      <dsp:nvSpPr>
        <dsp:cNvPr id="0" name=""/>
        <dsp:cNvSpPr/>
      </dsp:nvSpPr>
      <dsp:spPr>
        <a:xfrm>
          <a:off x="9615534" y="1488114"/>
          <a:ext cx="207645" cy="1309553"/>
        </a:xfrm>
        <a:custGeom>
          <a:avLst/>
          <a:gdLst/>
          <a:ahLst/>
          <a:cxnLst/>
          <a:rect l="0" t="0" r="0" b="0"/>
          <a:pathLst>
            <a:path>
              <a:moveTo>
                <a:pt x="0" y="0"/>
              </a:moveTo>
              <a:lnTo>
                <a:pt x="0" y="1309553"/>
              </a:lnTo>
              <a:lnTo>
                <a:pt x="207645" y="130955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7A21D83-0961-4F83-B6CA-9111DF4BFE52}">
      <dsp:nvSpPr>
        <dsp:cNvPr id="0" name=""/>
        <dsp:cNvSpPr/>
      </dsp:nvSpPr>
      <dsp:spPr>
        <a:xfrm>
          <a:off x="9615534" y="1488114"/>
          <a:ext cx="214578" cy="521348"/>
        </a:xfrm>
        <a:custGeom>
          <a:avLst/>
          <a:gdLst/>
          <a:ahLst/>
          <a:cxnLst/>
          <a:rect l="0" t="0" r="0" b="0"/>
          <a:pathLst>
            <a:path>
              <a:moveTo>
                <a:pt x="0" y="0"/>
              </a:moveTo>
              <a:lnTo>
                <a:pt x="0" y="521348"/>
              </a:lnTo>
              <a:lnTo>
                <a:pt x="214578" y="52134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8BDADBE-4402-4E6F-AB6F-E215C5F98D3B}">
      <dsp:nvSpPr>
        <dsp:cNvPr id="0" name=""/>
        <dsp:cNvSpPr/>
      </dsp:nvSpPr>
      <dsp:spPr>
        <a:xfrm>
          <a:off x="7425902" y="713324"/>
          <a:ext cx="2684313" cy="221018"/>
        </a:xfrm>
        <a:custGeom>
          <a:avLst/>
          <a:gdLst/>
          <a:ahLst/>
          <a:cxnLst/>
          <a:rect l="0" t="0" r="0" b="0"/>
          <a:pathLst>
            <a:path>
              <a:moveTo>
                <a:pt x="0" y="0"/>
              </a:moveTo>
              <a:lnTo>
                <a:pt x="0" y="104726"/>
              </a:lnTo>
              <a:lnTo>
                <a:pt x="2684313" y="104726"/>
              </a:lnTo>
              <a:lnTo>
                <a:pt x="2684313" y="221018"/>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A04B69D-268A-446E-98B0-E93679E0B0F9}">
      <dsp:nvSpPr>
        <dsp:cNvPr id="0" name=""/>
        <dsp:cNvSpPr/>
      </dsp:nvSpPr>
      <dsp:spPr>
        <a:xfrm>
          <a:off x="7645428" y="1489964"/>
          <a:ext cx="1340127" cy="244462"/>
        </a:xfrm>
        <a:custGeom>
          <a:avLst/>
          <a:gdLst/>
          <a:ahLst/>
          <a:cxnLst/>
          <a:rect l="0" t="0" r="0" b="0"/>
          <a:pathLst>
            <a:path>
              <a:moveTo>
                <a:pt x="0" y="0"/>
              </a:moveTo>
              <a:lnTo>
                <a:pt x="0" y="128170"/>
              </a:lnTo>
              <a:lnTo>
                <a:pt x="1340127" y="128170"/>
              </a:lnTo>
              <a:lnTo>
                <a:pt x="1340127" y="2444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D75A9BA-2063-4BE0-906D-7CCF7C73C3FB}">
      <dsp:nvSpPr>
        <dsp:cNvPr id="0" name=""/>
        <dsp:cNvSpPr/>
      </dsp:nvSpPr>
      <dsp:spPr>
        <a:xfrm>
          <a:off x="7202411" y="2288198"/>
          <a:ext cx="166131" cy="2082181"/>
        </a:xfrm>
        <a:custGeom>
          <a:avLst/>
          <a:gdLst/>
          <a:ahLst/>
          <a:cxnLst/>
          <a:rect l="0" t="0" r="0" b="0"/>
          <a:pathLst>
            <a:path>
              <a:moveTo>
                <a:pt x="0" y="0"/>
              </a:moveTo>
              <a:lnTo>
                <a:pt x="0" y="2082181"/>
              </a:lnTo>
              <a:lnTo>
                <a:pt x="166131" y="208218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18005E3-3D18-450E-9096-830C7B84DD3D}">
      <dsp:nvSpPr>
        <dsp:cNvPr id="0" name=""/>
        <dsp:cNvSpPr/>
      </dsp:nvSpPr>
      <dsp:spPr>
        <a:xfrm>
          <a:off x="7202411" y="2288198"/>
          <a:ext cx="166131" cy="1295825"/>
        </a:xfrm>
        <a:custGeom>
          <a:avLst/>
          <a:gdLst/>
          <a:ahLst/>
          <a:cxnLst/>
          <a:rect l="0" t="0" r="0" b="0"/>
          <a:pathLst>
            <a:path>
              <a:moveTo>
                <a:pt x="0" y="0"/>
              </a:moveTo>
              <a:lnTo>
                <a:pt x="0" y="1295825"/>
              </a:lnTo>
              <a:lnTo>
                <a:pt x="166131" y="129582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E31F5CA-37EC-464B-A0E1-9AB790904E0E}">
      <dsp:nvSpPr>
        <dsp:cNvPr id="0" name=""/>
        <dsp:cNvSpPr/>
      </dsp:nvSpPr>
      <dsp:spPr>
        <a:xfrm>
          <a:off x="7202411" y="2288198"/>
          <a:ext cx="166131" cy="509469"/>
        </a:xfrm>
        <a:custGeom>
          <a:avLst/>
          <a:gdLst/>
          <a:ahLst/>
          <a:cxnLst/>
          <a:rect l="0" t="0" r="0" b="0"/>
          <a:pathLst>
            <a:path>
              <a:moveTo>
                <a:pt x="0" y="0"/>
              </a:moveTo>
              <a:lnTo>
                <a:pt x="0" y="509469"/>
              </a:lnTo>
              <a:lnTo>
                <a:pt x="166131" y="50946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A9512E9-E1C5-4380-BA7C-8E54B5E137DF}">
      <dsp:nvSpPr>
        <dsp:cNvPr id="0" name=""/>
        <dsp:cNvSpPr/>
      </dsp:nvSpPr>
      <dsp:spPr>
        <a:xfrm>
          <a:off x="7599708" y="1489964"/>
          <a:ext cx="91440" cy="244462"/>
        </a:xfrm>
        <a:custGeom>
          <a:avLst/>
          <a:gdLst/>
          <a:ahLst/>
          <a:cxnLst/>
          <a:rect l="0" t="0" r="0" b="0"/>
          <a:pathLst>
            <a:path>
              <a:moveTo>
                <a:pt x="45720" y="0"/>
              </a:moveTo>
              <a:lnTo>
                <a:pt x="45720" y="2444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E0991F3-3934-47BB-929B-D5CDA7641990}">
      <dsp:nvSpPr>
        <dsp:cNvPr id="0" name=""/>
        <dsp:cNvSpPr/>
      </dsp:nvSpPr>
      <dsp:spPr>
        <a:xfrm>
          <a:off x="5862284" y="2288198"/>
          <a:ext cx="166131" cy="1295825"/>
        </a:xfrm>
        <a:custGeom>
          <a:avLst/>
          <a:gdLst/>
          <a:ahLst/>
          <a:cxnLst/>
          <a:rect l="0" t="0" r="0" b="0"/>
          <a:pathLst>
            <a:path>
              <a:moveTo>
                <a:pt x="0" y="0"/>
              </a:moveTo>
              <a:lnTo>
                <a:pt x="0" y="1295825"/>
              </a:lnTo>
              <a:lnTo>
                <a:pt x="166131" y="129582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7968CA6-A26B-43C5-9036-51384CB0A177}">
      <dsp:nvSpPr>
        <dsp:cNvPr id="0" name=""/>
        <dsp:cNvSpPr/>
      </dsp:nvSpPr>
      <dsp:spPr>
        <a:xfrm>
          <a:off x="5862284" y="2288198"/>
          <a:ext cx="166131" cy="509469"/>
        </a:xfrm>
        <a:custGeom>
          <a:avLst/>
          <a:gdLst/>
          <a:ahLst/>
          <a:cxnLst/>
          <a:rect l="0" t="0" r="0" b="0"/>
          <a:pathLst>
            <a:path>
              <a:moveTo>
                <a:pt x="0" y="0"/>
              </a:moveTo>
              <a:lnTo>
                <a:pt x="0" y="509469"/>
              </a:lnTo>
              <a:lnTo>
                <a:pt x="166131" y="50946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AC18233-7434-428C-A2CE-9E3AFE243EA4}">
      <dsp:nvSpPr>
        <dsp:cNvPr id="0" name=""/>
        <dsp:cNvSpPr/>
      </dsp:nvSpPr>
      <dsp:spPr>
        <a:xfrm>
          <a:off x="6305301" y="1489964"/>
          <a:ext cx="1340127" cy="244462"/>
        </a:xfrm>
        <a:custGeom>
          <a:avLst/>
          <a:gdLst/>
          <a:ahLst/>
          <a:cxnLst/>
          <a:rect l="0" t="0" r="0" b="0"/>
          <a:pathLst>
            <a:path>
              <a:moveTo>
                <a:pt x="1340127" y="0"/>
              </a:moveTo>
              <a:lnTo>
                <a:pt x="1340127" y="128170"/>
              </a:lnTo>
              <a:lnTo>
                <a:pt x="0" y="128170"/>
              </a:lnTo>
              <a:lnTo>
                <a:pt x="0" y="2444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920179-6629-4A58-BB26-F9023C6AB676}">
      <dsp:nvSpPr>
        <dsp:cNvPr id="0" name=""/>
        <dsp:cNvSpPr/>
      </dsp:nvSpPr>
      <dsp:spPr>
        <a:xfrm>
          <a:off x="7425902" y="713324"/>
          <a:ext cx="219526" cy="222868"/>
        </a:xfrm>
        <a:custGeom>
          <a:avLst/>
          <a:gdLst/>
          <a:ahLst/>
          <a:cxnLst/>
          <a:rect l="0" t="0" r="0" b="0"/>
          <a:pathLst>
            <a:path>
              <a:moveTo>
                <a:pt x="0" y="0"/>
              </a:moveTo>
              <a:lnTo>
                <a:pt x="0" y="106576"/>
              </a:lnTo>
              <a:lnTo>
                <a:pt x="219526" y="106576"/>
              </a:lnTo>
              <a:lnTo>
                <a:pt x="219526" y="222868"/>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1F44040-471C-47E1-AA4C-3975425FBF91}">
      <dsp:nvSpPr>
        <dsp:cNvPr id="0" name=""/>
        <dsp:cNvSpPr/>
      </dsp:nvSpPr>
      <dsp:spPr>
        <a:xfrm>
          <a:off x="4522156" y="2288198"/>
          <a:ext cx="166131" cy="1295825"/>
        </a:xfrm>
        <a:custGeom>
          <a:avLst/>
          <a:gdLst/>
          <a:ahLst/>
          <a:cxnLst/>
          <a:rect l="0" t="0" r="0" b="0"/>
          <a:pathLst>
            <a:path>
              <a:moveTo>
                <a:pt x="0" y="0"/>
              </a:moveTo>
              <a:lnTo>
                <a:pt x="0" y="1295825"/>
              </a:lnTo>
              <a:lnTo>
                <a:pt x="166131" y="129582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69005B3-517D-446B-8623-5C28558CA7A7}">
      <dsp:nvSpPr>
        <dsp:cNvPr id="0" name=""/>
        <dsp:cNvSpPr/>
      </dsp:nvSpPr>
      <dsp:spPr>
        <a:xfrm>
          <a:off x="4522156" y="2288198"/>
          <a:ext cx="166131" cy="509469"/>
        </a:xfrm>
        <a:custGeom>
          <a:avLst/>
          <a:gdLst/>
          <a:ahLst/>
          <a:cxnLst/>
          <a:rect l="0" t="0" r="0" b="0"/>
          <a:pathLst>
            <a:path>
              <a:moveTo>
                <a:pt x="0" y="0"/>
              </a:moveTo>
              <a:lnTo>
                <a:pt x="0" y="509469"/>
              </a:lnTo>
              <a:lnTo>
                <a:pt x="166131" y="50946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E82E1CF-9093-4966-8BDC-BA30B6523B53}">
      <dsp:nvSpPr>
        <dsp:cNvPr id="0" name=""/>
        <dsp:cNvSpPr/>
      </dsp:nvSpPr>
      <dsp:spPr>
        <a:xfrm>
          <a:off x="4295110" y="1489964"/>
          <a:ext cx="670063" cy="244462"/>
        </a:xfrm>
        <a:custGeom>
          <a:avLst/>
          <a:gdLst/>
          <a:ahLst/>
          <a:cxnLst/>
          <a:rect l="0" t="0" r="0" b="0"/>
          <a:pathLst>
            <a:path>
              <a:moveTo>
                <a:pt x="0" y="0"/>
              </a:moveTo>
              <a:lnTo>
                <a:pt x="0" y="128170"/>
              </a:lnTo>
              <a:lnTo>
                <a:pt x="670063" y="128170"/>
              </a:lnTo>
              <a:lnTo>
                <a:pt x="670063" y="2444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B2DB3A0-B135-43F4-88C1-E9985DD92C2D}">
      <dsp:nvSpPr>
        <dsp:cNvPr id="0" name=""/>
        <dsp:cNvSpPr/>
      </dsp:nvSpPr>
      <dsp:spPr>
        <a:xfrm>
          <a:off x="3182029" y="2288198"/>
          <a:ext cx="166131" cy="1295825"/>
        </a:xfrm>
        <a:custGeom>
          <a:avLst/>
          <a:gdLst/>
          <a:ahLst/>
          <a:cxnLst/>
          <a:rect l="0" t="0" r="0" b="0"/>
          <a:pathLst>
            <a:path>
              <a:moveTo>
                <a:pt x="0" y="0"/>
              </a:moveTo>
              <a:lnTo>
                <a:pt x="0" y="1295825"/>
              </a:lnTo>
              <a:lnTo>
                <a:pt x="166131" y="129582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51EDF52-9700-4415-9C5E-2D5BBD97710A}">
      <dsp:nvSpPr>
        <dsp:cNvPr id="0" name=""/>
        <dsp:cNvSpPr/>
      </dsp:nvSpPr>
      <dsp:spPr>
        <a:xfrm>
          <a:off x="3182029" y="2288198"/>
          <a:ext cx="166131" cy="509469"/>
        </a:xfrm>
        <a:custGeom>
          <a:avLst/>
          <a:gdLst/>
          <a:ahLst/>
          <a:cxnLst/>
          <a:rect l="0" t="0" r="0" b="0"/>
          <a:pathLst>
            <a:path>
              <a:moveTo>
                <a:pt x="0" y="0"/>
              </a:moveTo>
              <a:lnTo>
                <a:pt x="0" y="509469"/>
              </a:lnTo>
              <a:lnTo>
                <a:pt x="166131" y="50946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BDCF5C3-4938-4F7B-B883-DFE0EA2513F2}">
      <dsp:nvSpPr>
        <dsp:cNvPr id="0" name=""/>
        <dsp:cNvSpPr/>
      </dsp:nvSpPr>
      <dsp:spPr>
        <a:xfrm>
          <a:off x="3625046" y="1489964"/>
          <a:ext cx="670063" cy="244462"/>
        </a:xfrm>
        <a:custGeom>
          <a:avLst/>
          <a:gdLst/>
          <a:ahLst/>
          <a:cxnLst/>
          <a:rect l="0" t="0" r="0" b="0"/>
          <a:pathLst>
            <a:path>
              <a:moveTo>
                <a:pt x="670063" y="0"/>
              </a:moveTo>
              <a:lnTo>
                <a:pt x="670063" y="128170"/>
              </a:lnTo>
              <a:lnTo>
                <a:pt x="0" y="128170"/>
              </a:lnTo>
              <a:lnTo>
                <a:pt x="0" y="2444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46AE877-ED15-459B-B13B-AF077FBB1040}">
      <dsp:nvSpPr>
        <dsp:cNvPr id="0" name=""/>
        <dsp:cNvSpPr/>
      </dsp:nvSpPr>
      <dsp:spPr>
        <a:xfrm>
          <a:off x="4295110" y="713324"/>
          <a:ext cx="3130792" cy="222868"/>
        </a:xfrm>
        <a:custGeom>
          <a:avLst/>
          <a:gdLst/>
          <a:ahLst/>
          <a:cxnLst/>
          <a:rect l="0" t="0" r="0" b="0"/>
          <a:pathLst>
            <a:path>
              <a:moveTo>
                <a:pt x="3130792" y="0"/>
              </a:moveTo>
              <a:lnTo>
                <a:pt x="3130792" y="106576"/>
              </a:lnTo>
              <a:lnTo>
                <a:pt x="0" y="106576"/>
              </a:lnTo>
              <a:lnTo>
                <a:pt x="0" y="222868"/>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361F233-B12E-43F6-BC39-A98D94AE39A7}">
      <dsp:nvSpPr>
        <dsp:cNvPr id="0" name=""/>
        <dsp:cNvSpPr/>
      </dsp:nvSpPr>
      <dsp:spPr>
        <a:xfrm>
          <a:off x="1841902" y="3074553"/>
          <a:ext cx="166131" cy="3654892"/>
        </a:xfrm>
        <a:custGeom>
          <a:avLst/>
          <a:gdLst/>
          <a:ahLst/>
          <a:cxnLst/>
          <a:rect l="0" t="0" r="0" b="0"/>
          <a:pathLst>
            <a:path>
              <a:moveTo>
                <a:pt x="0" y="0"/>
              </a:moveTo>
              <a:lnTo>
                <a:pt x="0" y="3654892"/>
              </a:lnTo>
              <a:lnTo>
                <a:pt x="166131" y="365489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894DCF4-CFDB-4655-8C23-F6D06D7FB345}">
      <dsp:nvSpPr>
        <dsp:cNvPr id="0" name=""/>
        <dsp:cNvSpPr/>
      </dsp:nvSpPr>
      <dsp:spPr>
        <a:xfrm>
          <a:off x="1841902" y="3074553"/>
          <a:ext cx="166131" cy="2868536"/>
        </a:xfrm>
        <a:custGeom>
          <a:avLst/>
          <a:gdLst/>
          <a:ahLst/>
          <a:cxnLst/>
          <a:rect l="0" t="0" r="0" b="0"/>
          <a:pathLst>
            <a:path>
              <a:moveTo>
                <a:pt x="0" y="0"/>
              </a:moveTo>
              <a:lnTo>
                <a:pt x="0" y="2868536"/>
              </a:lnTo>
              <a:lnTo>
                <a:pt x="166131" y="286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03BF5AB-02EB-4D85-9282-46894415A7C4}">
      <dsp:nvSpPr>
        <dsp:cNvPr id="0" name=""/>
        <dsp:cNvSpPr/>
      </dsp:nvSpPr>
      <dsp:spPr>
        <a:xfrm>
          <a:off x="1841902" y="3074553"/>
          <a:ext cx="166131" cy="2082181"/>
        </a:xfrm>
        <a:custGeom>
          <a:avLst/>
          <a:gdLst/>
          <a:ahLst/>
          <a:cxnLst/>
          <a:rect l="0" t="0" r="0" b="0"/>
          <a:pathLst>
            <a:path>
              <a:moveTo>
                <a:pt x="0" y="0"/>
              </a:moveTo>
              <a:lnTo>
                <a:pt x="0" y="2082181"/>
              </a:lnTo>
              <a:lnTo>
                <a:pt x="166131" y="208218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BE8EFB2-4965-4609-B1C2-1F507D9025F0}">
      <dsp:nvSpPr>
        <dsp:cNvPr id="0" name=""/>
        <dsp:cNvSpPr/>
      </dsp:nvSpPr>
      <dsp:spPr>
        <a:xfrm>
          <a:off x="1841902" y="3074553"/>
          <a:ext cx="166131" cy="1295825"/>
        </a:xfrm>
        <a:custGeom>
          <a:avLst/>
          <a:gdLst/>
          <a:ahLst/>
          <a:cxnLst/>
          <a:rect l="0" t="0" r="0" b="0"/>
          <a:pathLst>
            <a:path>
              <a:moveTo>
                <a:pt x="0" y="0"/>
              </a:moveTo>
              <a:lnTo>
                <a:pt x="0" y="1295825"/>
              </a:lnTo>
              <a:lnTo>
                <a:pt x="166131" y="129582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E904246-481F-4578-AD91-764D29E6D564}">
      <dsp:nvSpPr>
        <dsp:cNvPr id="0" name=""/>
        <dsp:cNvSpPr/>
      </dsp:nvSpPr>
      <dsp:spPr>
        <a:xfrm>
          <a:off x="1841902" y="3074553"/>
          <a:ext cx="166131" cy="509469"/>
        </a:xfrm>
        <a:custGeom>
          <a:avLst/>
          <a:gdLst/>
          <a:ahLst/>
          <a:cxnLst/>
          <a:rect l="0" t="0" r="0" b="0"/>
          <a:pathLst>
            <a:path>
              <a:moveTo>
                <a:pt x="0" y="0"/>
              </a:moveTo>
              <a:lnTo>
                <a:pt x="0" y="509469"/>
              </a:lnTo>
              <a:lnTo>
                <a:pt x="166131" y="50946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AF5925E-A439-4734-BFA7-0209F1E034E0}">
      <dsp:nvSpPr>
        <dsp:cNvPr id="0" name=""/>
        <dsp:cNvSpPr/>
      </dsp:nvSpPr>
      <dsp:spPr>
        <a:xfrm>
          <a:off x="2239199" y="2288198"/>
          <a:ext cx="91440" cy="232584"/>
        </a:xfrm>
        <a:custGeom>
          <a:avLst/>
          <a:gdLst/>
          <a:ahLst/>
          <a:cxnLst/>
          <a:rect l="0" t="0" r="0" b="0"/>
          <a:pathLst>
            <a:path>
              <a:moveTo>
                <a:pt x="45720" y="0"/>
              </a:moveTo>
              <a:lnTo>
                <a:pt x="45720" y="23258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935FBDA-E2AB-49CA-8CF4-754257839CD4}">
      <dsp:nvSpPr>
        <dsp:cNvPr id="0" name=""/>
        <dsp:cNvSpPr/>
      </dsp:nvSpPr>
      <dsp:spPr>
        <a:xfrm>
          <a:off x="2239199" y="1489964"/>
          <a:ext cx="91440" cy="244462"/>
        </a:xfrm>
        <a:custGeom>
          <a:avLst/>
          <a:gdLst/>
          <a:ahLst/>
          <a:cxnLst/>
          <a:rect l="0" t="0" r="0" b="0"/>
          <a:pathLst>
            <a:path>
              <a:moveTo>
                <a:pt x="45720" y="0"/>
              </a:moveTo>
              <a:lnTo>
                <a:pt x="45720" y="2444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D38DC8-3D55-42DE-AD09-72BD953ED7FB}">
      <dsp:nvSpPr>
        <dsp:cNvPr id="0" name=""/>
        <dsp:cNvSpPr/>
      </dsp:nvSpPr>
      <dsp:spPr>
        <a:xfrm>
          <a:off x="2284919" y="713324"/>
          <a:ext cx="5140983" cy="222868"/>
        </a:xfrm>
        <a:custGeom>
          <a:avLst/>
          <a:gdLst/>
          <a:ahLst/>
          <a:cxnLst/>
          <a:rect l="0" t="0" r="0" b="0"/>
          <a:pathLst>
            <a:path>
              <a:moveTo>
                <a:pt x="5140983" y="0"/>
              </a:moveTo>
              <a:lnTo>
                <a:pt x="5140983" y="106576"/>
              </a:lnTo>
              <a:lnTo>
                <a:pt x="0" y="106576"/>
              </a:lnTo>
              <a:lnTo>
                <a:pt x="0" y="222868"/>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210511E-8313-4F28-990A-429088BA3B3F}">
      <dsp:nvSpPr>
        <dsp:cNvPr id="0" name=""/>
        <dsp:cNvSpPr/>
      </dsp:nvSpPr>
      <dsp:spPr>
        <a:xfrm>
          <a:off x="238160" y="1501842"/>
          <a:ext cx="152859" cy="2082181"/>
        </a:xfrm>
        <a:custGeom>
          <a:avLst/>
          <a:gdLst/>
          <a:ahLst/>
          <a:cxnLst/>
          <a:rect l="0" t="0" r="0" b="0"/>
          <a:pathLst>
            <a:path>
              <a:moveTo>
                <a:pt x="0" y="0"/>
              </a:moveTo>
              <a:lnTo>
                <a:pt x="0" y="2082181"/>
              </a:lnTo>
              <a:lnTo>
                <a:pt x="152859" y="208218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D786B8-780D-4619-A5E3-357F0EDAE2E4}">
      <dsp:nvSpPr>
        <dsp:cNvPr id="0" name=""/>
        <dsp:cNvSpPr/>
      </dsp:nvSpPr>
      <dsp:spPr>
        <a:xfrm>
          <a:off x="238160" y="1501842"/>
          <a:ext cx="152859" cy="1295825"/>
        </a:xfrm>
        <a:custGeom>
          <a:avLst/>
          <a:gdLst/>
          <a:ahLst/>
          <a:cxnLst/>
          <a:rect l="0" t="0" r="0" b="0"/>
          <a:pathLst>
            <a:path>
              <a:moveTo>
                <a:pt x="0" y="0"/>
              </a:moveTo>
              <a:lnTo>
                <a:pt x="0" y="1295825"/>
              </a:lnTo>
              <a:lnTo>
                <a:pt x="152859" y="129582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DBA4C10-E38C-4A57-BDCF-A02983AC86EA}">
      <dsp:nvSpPr>
        <dsp:cNvPr id="0" name=""/>
        <dsp:cNvSpPr/>
      </dsp:nvSpPr>
      <dsp:spPr>
        <a:xfrm>
          <a:off x="238160" y="1501842"/>
          <a:ext cx="152859" cy="509469"/>
        </a:xfrm>
        <a:custGeom>
          <a:avLst/>
          <a:gdLst/>
          <a:ahLst/>
          <a:cxnLst/>
          <a:rect l="0" t="0" r="0" b="0"/>
          <a:pathLst>
            <a:path>
              <a:moveTo>
                <a:pt x="0" y="0"/>
              </a:moveTo>
              <a:lnTo>
                <a:pt x="0" y="509469"/>
              </a:lnTo>
              <a:lnTo>
                <a:pt x="152859" y="50946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A6A4CA-F40E-4826-9E97-95062F5DD647}">
      <dsp:nvSpPr>
        <dsp:cNvPr id="0" name=""/>
        <dsp:cNvSpPr/>
      </dsp:nvSpPr>
      <dsp:spPr>
        <a:xfrm>
          <a:off x="579009" y="713324"/>
          <a:ext cx="6846893" cy="234746"/>
        </a:xfrm>
        <a:custGeom>
          <a:avLst/>
          <a:gdLst/>
          <a:ahLst/>
          <a:cxnLst/>
          <a:rect l="0" t="0" r="0" b="0"/>
          <a:pathLst>
            <a:path>
              <a:moveTo>
                <a:pt x="6846893" y="0"/>
              </a:moveTo>
              <a:lnTo>
                <a:pt x="6846893" y="118454"/>
              </a:lnTo>
              <a:lnTo>
                <a:pt x="0" y="118454"/>
              </a:lnTo>
              <a:lnTo>
                <a:pt x="0" y="23474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D883808-430E-40D8-8B07-302E85302A34}">
      <dsp:nvSpPr>
        <dsp:cNvPr id="0" name=""/>
        <dsp:cNvSpPr/>
      </dsp:nvSpPr>
      <dsp:spPr>
        <a:xfrm>
          <a:off x="6594348" y="0"/>
          <a:ext cx="1663109" cy="713324"/>
        </a:xfrm>
        <a:prstGeom prst="rect">
          <a:avLst/>
        </a:prstGeom>
        <a:solidFill>
          <a:schemeClr val="tx2"/>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endParaRPr lang="pt-BR" sz="1050" b="1" kern="1200"/>
        </a:p>
      </dsp:txBody>
      <dsp:txXfrm>
        <a:off x="6594348" y="0"/>
        <a:ext cx="1663109" cy="713324"/>
      </dsp:txXfrm>
    </dsp:sp>
    <dsp:sp modelId="{4C9AEEA8-806B-4221-A8CF-497F84C39D63}">
      <dsp:nvSpPr>
        <dsp:cNvPr id="0" name=""/>
        <dsp:cNvSpPr/>
      </dsp:nvSpPr>
      <dsp:spPr>
        <a:xfrm>
          <a:off x="152948" y="948070"/>
          <a:ext cx="852121" cy="553771"/>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INÍCIO</a:t>
          </a:r>
        </a:p>
      </dsp:txBody>
      <dsp:txXfrm>
        <a:off x="152948" y="948070"/>
        <a:ext cx="852121" cy="553771"/>
      </dsp:txXfrm>
    </dsp:sp>
    <dsp:sp modelId="{9E9FE827-52A4-46D9-ADB2-E6FCF0B9E008}">
      <dsp:nvSpPr>
        <dsp:cNvPr id="0" name=""/>
        <dsp:cNvSpPr/>
      </dsp:nvSpPr>
      <dsp:spPr>
        <a:xfrm>
          <a:off x="391020" y="1734426"/>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DEFINIÇÃO </a:t>
          </a:r>
          <a:r>
            <a:rPr lang="pt-BR" sz="1000" b="0" kern="1200"/>
            <a:t>DE</a:t>
          </a:r>
          <a:r>
            <a:rPr lang="pt-BR" sz="1000" kern="1200"/>
            <a:t> EQUIPE</a:t>
          </a:r>
        </a:p>
      </dsp:txBody>
      <dsp:txXfrm>
        <a:off x="391020" y="1734426"/>
        <a:ext cx="1107543" cy="553771"/>
      </dsp:txXfrm>
    </dsp:sp>
    <dsp:sp modelId="{CF1CE0D6-2000-45B7-B412-882350AF6F25}">
      <dsp:nvSpPr>
        <dsp:cNvPr id="0" name=""/>
        <dsp:cNvSpPr/>
      </dsp:nvSpPr>
      <dsp:spPr>
        <a:xfrm>
          <a:off x="391020"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DEFINIÇÃO DE ESCOPO</a:t>
          </a:r>
        </a:p>
      </dsp:txBody>
      <dsp:txXfrm>
        <a:off x="391020" y="2520782"/>
        <a:ext cx="1107543" cy="553771"/>
      </dsp:txXfrm>
    </dsp:sp>
    <dsp:sp modelId="{422A5DCC-F310-4179-AC5C-3A5AA9AB3509}">
      <dsp:nvSpPr>
        <dsp:cNvPr id="0" name=""/>
        <dsp:cNvSpPr/>
      </dsp:nvSpPr>
      <dsp:spPr>
        <a:xfrm>
          <a:off x="391020" y="3307138"/>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REUNIÃO COM A CANNOLI</a:t>
          </a:r>
        </a:p>
      </dsp:txBody>
      <dsp:txXfrm>
        <a:off x="391020" y="3307138"/>
        <a:ext cx="1107543" cy="553771"/>
      </dsp:txXfrm>
    </dsp:sp>
    <dsp:sp modelId="{D170E32D-A43F-4CAB-A215-C289F970862B}">
      <dsp:nvSpPr>
        <dsp:cNvPr id="0" name=""/>
        <dsp:cNvSpPr/>
      </dsp:nvSpPr>
      <dsp:spPr>
        <a:xfrm>
          <a:off x="1728705" y="936192"/>
          <a:ext cx="1112427" cy="553771"/>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PLANEJAMENTO</a:t>
          </a:r>
        </a:p>
      </dsp:txBody>
      <dsp:txXfrm>
        <a:off x="1728705" y="936192"/>
        <a:ext cx="1112427" cy="553771"/>
      </dsp:txXfrm>
    </dsp:sp>
    <dsp:sp modelId="{8D28DA9C-651E-493C-AEB4-8DE7C4670A76}">
      <dsp:nvSpPr>
        <dsp:cNvPr id="0" name=""/>
        <dsp:cNvSpPr/>
      </dsp:nvSpPr>
      <dsp:spPr>
        <a:xfrm>
          <a:off x="1731148" y="1734426"/>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LEVANTAMENTO DE REQUISITOS</a:t>
          </a:r>
        </a:p>
      </dsp:txBody>
      <dsp:txXfrm>
        <a:off x="1731148" y="1734426"/>
        <a:ext cx="1107543" cy="553771"/>
      </dsp:txXfrm>
    </dsp:sp>
    <dsp:sp modelId="{72AC346F-2F4E-444E-8C03-BD2A3B5A48DE}">
      <dsp:nvSpPr>
        <dsp:cNvPr id="0" name=""/>
        <dsp:cNvSpPr/>
      </dsp:nvSpPr>
      <dsp:spPr>
        <a:xfrm>
          <a:off x="1731148"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PADRONIZAÇÃO DE DADOS</a:t>
          </a:r>
        </a:p>
      </dsp:txBody>
      <dsp:txXfrm>
        <a:off x="1731148" y="2520782"/>
        <a:ext cx="1107543" cy="553771"/>
      </dsp:txXfrm>
    </dsp:sp>
    <dsp:sp modelId="{3C105CD6-BA5F-4296-9ADF-C21FEB294665}">
      <dsp:nvSpPr>
        <dsp:cNvPr id="0" name=""/>
        <dsp:cNvSpPr/>
      </dsp:nvSpPr>
      <dsp:spPr>
        <a:xfrm>
          <a:off x="2008033" y="3307138"/>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ENTENDER OS DADOS</a:t>
          </a:r>
        </a:p>
      </dsp:txBody>
      <dsp:txXfrm>
        <a:off x="2008033" y="3307138"/>
        <a:ext cx="1107543" cy="553771"/>
      </dsp:txXfrm>
    </dsp:sp>
    <dsp:sp modelId="{539C43EC-88FB-4101-BFC8-2FBEBDCB1CFF}">
      <dsp:nvSpPr>
        <dsp:cNvPr id="0" name=""/>
        <dsp:cNvSpPr/>
      </dsp:nvSpPr>
      <dsp:spPr>
        <a:xfrm>
          <a:off x="2008033" y="4093493"/>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0" kern="1200"/>
            <a:t>COLETAR DADOS INICIAIS </a:t>
          </a:r>
        </a:p>
      </dsp:txBody>
      <dsp:txXfrm>
        <a:off x="2008033" y="4093493"/>
        <a:ext cx="1107543" cy="553771"/>
      </dsp:txXfrm>
    </dsp:sp>
    <dsp:sp modelId="{042C9D99-30E8-4921-9EB9-EBE3CC59CEFA}">
      <dsp:nvSpPr>
        <dsp:cNvPr id="0" name=""/>
        <dsp:cNvSpPr/>
      </dsp:nvSpPr>
      <dsp:spPr>
        <a:xfrm>
          <a:off x="2008033" y="4879849"/>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DESCREVER OS DADOS</a:t>
          </a:r>
        </a:p>
      </dsp:txBody>
      <dsp:txXfrm>
        <a:off x="2008033" y="4879849"/>
        <a:ext cx="1107543" cy="553771"/>
      </dsp:txXfrm>
    </dsp:sp>
    <dsp:sp modelId="{D7E2BE4B-D731-4C2D-BA0A-37C902784000}">
      <dsp:nvSpPr>
        <dsp:cNvPr id="0" name=""/>
        <dsp:cNvSpPr/>
      </dsp:nvSpPr>
      <dsp:spPr>
        <a:xfrm>
          <a:off x="2008033" y="5666205"/>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EXPLORAR OS DADOS</a:t>
          </a:r>
        </a:p>
      </dsp:txBody>
      <dsp:txXfrm>
        <a:off x="2008033" y="5666205"/>
        <a:ext cx="1107543" cy="553771"/>
      </dsp:txXfrm>
    </dsp:sp>
    <dsp:sp modelId="{85AD923B-4E2C-411D-9E05-6D278E6E3C31}">
      <dsp:nvSpPr>
        <dsp:cNvPr id="0" name=""/>
        <dsp:cNvSpPr/>
      </dsp:nvSpPr>
      <dsp:spPr>
        <a:xfrm>
          <a:off x="2008033" y="6452560"/>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VERIFICAR A QUALIDADE DOS DADOS</a:t>
          </a:r>
        </a:p>
      </dsp:txBody>
      <dsp:txXfrm>
        <a:off x="2008033" y="6452560"/>
        <a:ext cx="1107543" cy="553771"/>
      </dsp:txXfrm>
    </dsp:sp>
    <dsp:sp modelId="{5368EF9E-E26F-497A-B704-8C2CE5D835FD}">
      <dsp:nvSpPr>
        <dsp:cNvPr id="0" name=""/>
        <dsp:cNvSpPr/>
      </dsp:nvSpPr>
      <dsp:spPr>
        <a:xfrm>
          <a:off x="3741338" y="936192"/>
          <a:ext cx="1107543" cy="553771"/>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DESIGN</a:t>
          </a:r>
        </a:p>
        <a:p>
          <a:pPr marL="0" lvl="0" indent="0" algn="ctr" defTabSz="355600">
            <a:lnSpc>
              <a:spcPct val="90000"/>
            </a:lnSpc>
            <a:spcBef>
              <a:spcPct val="0"/>
            </a:spcBef>
            <a:spcAft>
              <a:spcPct val="35000"/>
            </a:spcAft>
            <a:buNone/>
          </a:pPr>
          <a:r>
            <a:rPr lang="pt-BR" sz="800" b="1" kern="1200"/>
            <a:t>PROTOTIPAGEM</a:t>
          </a:r>
        </a:p>
      </dsp:txBody>
      <dsp:txXfrm>
        <a:off x="3741338" y="936192"/>
        <a:ext cx="1107543" cy="553771"/>
      </dsp:txXfrm>
    </dsp:sp>
    <dsp:sp modelId="{3CB81659-FE3C-423B-9CBD-B42FC5FE3EA0}">
      <dsp:nvSpPr>
        <dsp:cNvPr id="0" name=""/>
        <dsp:cNvSpPr/>
      </dsp:nvSpPr>
      <dsp:spPr>
        <a:xfrm>
          <a:off x="3071275" y="1734426"/>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DESIGN UI DO DASHBOARD </a:t>
          </a:r>
        </a:p>
      </dsp:txBody>
      <dsp:txXfrm>
        <a:off x="3071275" y="1734426"/>
        <a:ext cx="1107543" cy="553771"/>
      </dsp:txXfrm>
    </dsp:sp>
    <dsp:sp modelId="{07D3882F-C235-4ADF-85FA-E879C777A8BD}">
      <dsp:nvSpPr>
        <dsp:cNvPr id="0" name=""/>
        <dsp:cNvSpPr/>
      </dsp:nvSpPr>
      <dsp:spPr>
        <a:xfrm>
          <a:off x="3348161"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NAVEGAÇÃO E FUNCIONALIDADES</a:t>
          </a:r>
        </a:p>
      </dsp:txBody>
      <dsp:txXfrm>
        <a:off x="3348161" y="2520782"/>
        <a:ext cx="1107543" cy="553771"/>
      </dsp:txXfrm>
    </dsp:sp>
    <dsp:sp modelId="{D7DDDDF0-F44F-4B11-B08B-89295DEA0D9B}">
      <dsp:nvSpPr>
        <dsp:cNvPr id="0" name=""/>
        <dsp:cNvSpPr/>
      </dsp:nvSpPr>
      <dsp:spPr>
        <a:xfrm>
          <a:off x="3348161" y="3307138"/>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PROTÓTIPOS INTERATIVOS</a:t>
          </a:r>
        </a:p>
      </dsp:txBody>
      <dsp:txXfrm>
        <a:off x="3348161" y="3307138"/>
        <a:ext cx="1107543" cy="553771"/>
      </dsp:txXfrm>
    </dsp:sp>
    <dsp:sp modelId="{12FDCBF9-3BED-482D-906E-5A09DB8EAF1F}">
      <dsp:nvSpPr>
        <dsp:cNvPr id="0" name=""/>
        <dsp:cNvSpPr/>
      </dsp:nvSpPr>
      <dsp:spPr>
        <a:xfrm>
          <a:off x="4411402" y="1734426"/>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DESIGN UX DO DASHBOARD</a:t>
          </a:r>
        </a:p>
      </dsp:txBody>
      <dsp:txXfrm>
        <a:off x="4411402" y="1734426"/>
        <a:ext cx="1107543" cy="553771"/>
      </dsp:txXfrm>
    </dsp:sp>
    <dsp:sp modelId="{1E535ECD-9FA0-4E48-A66D-29FFB2AB3B70}">
      <dsp:nvSpPr>
        <dsp:cNvPr id="0" name=""/>
        <dsp:cNvSpPr/>
      </dsp:nvSpPr>
      <dsp:spPr>
        <a:xfrm>
          <a:off x="4688288"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INTERFACE LIMPA E INTUITIVA</a:t>
          </a:r>
        </a:p>
      </dsp:txBody>
      <dsp:txXfrm>
        <a:off x="4688288" y="2520782"/>
        <a:ext cx="1107543" cy="553771"/>
      </dsp:txXfrm>
    </dsp:sp>
    <dsp:sp modelId="{0A7F2A46-750F-45A2-923B-D1292802EFDC}">
      <dsp:nvSpPr>
        <dsp:cNvPr id="0" name=""/>
        <dsp:cNvSpPr/>
      </dsp:nvSpPr>
      <dsp:spPr>
        <a:xfrm>
          <a:off x="4688288" y="3307138"/>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TESTAR A UI/UX</a:t>
          </a:r>
        </a:p>
      </dsp:txBody>
      <dsp:txXfrm>
        <a:off x="4688288" y="3307138"/>
        <a:ext cx="1107543" cy="553771"/>
      </dsp:txXfrm>
    </dsp:sp>
    <dsp:sp modelId="{34D49AA9-33AD-4664-ADD5-58DB46EB9889}">
      <dsp:nvSpPr>
        <dsp:cNvPr id="0" name=""/>
        <dsp:cNvSpPr/>
      </dsp:nvSpPr>
      <dsp:spPr>
        <a:xfrm>
          <a:off x="6959494" y="936192"/>
          <a:ext cx="1371869" cy="553771"/>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DESENVOLVIMENTO</a:t>
          </a:r>
        </a:p>
      </dsp:txBody>
      <dsp:txXfrm>
        <a:off x="6959494" y="936192"/>
        <a:ext cx="1371869" cy="553771"/>
      </dsp:txXfrm>
    </dsp:sp>
    <dsp:sp modelId="{DA2E93DC-BB1D-4564-889B-BA004AC786E0}">
      <dsp:nvSpPr>
        <dsp:cNvPr id="0" name=""/>
        <dsp:cNvSpPr/>
      </dsp:nvSpPr>
      <dsp:spPr>
        <a:xfrm>
          <a:off x="5751529" y="1734426"/>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DEFINIR A ESTRUTURA DO DASHBOARD</a:t>
          </a:r>
        </a:p>
      </dsp:txBody>
      <dsp:txXfrm>
        <a:off x="5751529" y="1734426"/>
        <a:ext cx="1107543" cy="553771"/>
      </dsp:txXfrm>
    </dsp:sp>
    <dsp:sp modelId="{47D7B08E-C006-4337-AFA5-B2B6AB5330E7}">
      <dsp:nvSpPr>
        <dsp:cNvPr id="0" name=""/>
        <dsp:cNvSpPr/>
      </dsp:nvSpPr>
      <dsp:spPr>
        <a:xfrm>
          <a:off x="6028415"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CÓDIGO FRONT-END</a:t>
          </a:r>
        </a:p>
      </dsp:txBody>
      <dsp:txXfrm>
        <a:off x="6028415" y="2520782"/>
        <a:ext cx="1107543" cy="553771"/>
      </dsp:txXfrm>
    </dsp:sp>
    <dsp:sp modelId="{43E1BAD0-C612-479E-A76D-9ADDAE663A0D}">
      <dsp:nvSpPr>
        <dsp:cNvPr id="0" name=""/>
        <dsp:cNvSpPr/>
      </dsp:nvSpPr>
      <dsp:spPr>
        <a:xfrm>
          <a:off x="6028415" y="3307138"/>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CÓDIGO BACK-END</a:t>
          </a:r>
        </a:p>
      </dsp:txBody>
      <dsp:txXfrm>
        <a:off x="6028415" y="3307138"/>
        <a:ext cx="1107543" cy="553771"/>
      </dsp:txXfrm>
    </dsp:sp>
    <dsp:sp modelId="{4CB3CC10-420D-4678-B4A5-F650FAA65CFC}">
      <dsp:nvSpPr>
        <dsp:cNvPr id="0" name=""/>
        <dsp:cNvSpPr/>
      </dsp:nvSpPr>
      <dsp:spPr>
        <a:xfrm>
          <a:off x="7091657" y="1734426"/>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DESENVOLVER PRINCIPAIS MÓDULOS</a:t>
          </a:r>
        </a:p>
      </dsp:txBody>
      <dsp:txXfrm>
        <a:off x="7091657" y="1734426"/>
        <a:ext cx="1107543" cy="553771"/>
      </dsp:txXfrm>
    </dsp:sp>
    <dsp:sp modelId="{A197E7E5-E989-4B2D-830A-0E09071FB3E2}">
      <dsp:nvSpPr>
        <dsp:cNvPr id="0" name=""/>
        <dsp:cNvSpPr/>
      </dsp:nvSpPr>
      <dsp:spPr>
        <a:xfrm>
          <a:off x="7368543"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MÓDULO DE CAMAPANHA</a:t>
          </a:r>
        </a:p>
      </dsp:txBody>
      <dsp:txXfrm>
        <a:off x="7368543" y="2520782"/>
        <a:ext cx="1107543" cy="553771"/>
      </dsp:txXfrm>
    </dsp:sp>
    <dsp:sp modelId="{C5B5092F-8374-4C46-8567-B5ADA6FBAAC7}">
      <dsp:nvSpPr>
        <dsp:cNvPr id="0" name=""/>
        <dsp:cNvSpPr/>
      </dsp:nvSpPr>
      <dsp:spPr>
        <a:xfrm>
          <a:off x="7368543" y="3307138"/>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MÓDULO DE CLIENTES</a:t>
          </a:r>
        </a:p>
      </dsp:txBody>
      <dsp:txXfrm>
        <a:off x="7368543" y="3307138"/>
        <a:ext cx="1107543" cy="553771"/>
      </dsp:txXfrm>
    </dsp:sp>
    <dsp:sp modelId="{DD041405-12E2-46AF-8185-E79A3B1300BA}">
      <dsp:nvSpPr>
        <dsp:cNvPr id="0" name=""/>
        <dsp:cNvSpPr/>
      </dsp:nvSpPr>
      <dsp:spPr>
        <a:xfrm>
          <a:off x="7368543" y="4093493"/>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MÓDULO DE PEDIDOS</a:t>
          </a:r>
        </a:p>
      </dsp:txBody>
      <dsp:txXfrm>
        <a:off x="7368543" y="4093493"/>
        <a:ext cx="1107543" cy="553771"/>
      </dsp:txXfrm>
    </dsp:sp>
    <dsp:sp modelId="{FE319937-70A2-4E60-A528-D283398BE2D1}">
      <dsp:nvSpPr>
        <dsp:cNvPr id="0" name=""/>
        <dsp:cNvSpPr/>
      </dsp:nvSpPr>
      <dsp:spPr>
        <a:xfrm>
          <a:off x="8431784" y="1734426"/>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INTEGRAÇÃO DE APIS</a:t>
          </a:r>
        </a:p>
      </dsp:txBody>
      <dsp:txXfrm>
        <a:off x="8431784" y="1734426"/>
        <a:ext cx="1107543" cy="553771"/>
      </dsp:txXfrm>
    </dsp:sp>
    <dsp:sp modelId="{0BF99F41-2B36-4860-856E-9B912562371F}">
      <dsp:nvSpPr>
        <dsp:cNvPr id="0" name=""/>
        <dsp:cNvSpPr/>
      </dsp:nvSpPr>
      <dsp:spPr>
        <a:xfrm>
          <a:off x="9491864" y="934342"/>
          <a:ext cx="1236704" cy="553771"/>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INTEGRAÇÃO COM PLATAFORMA DA CANNOLI</a:t>
          </a:r>
        </a:p>
      </dsp:txBody>
      <dsp:txXfrm>
        <a:off x="9491864" y="934342"/>
        <a:ext cx="1236704" cy="553771"/>
      </dsp:txXfrm>
    </dsp:sp>
    <dsp:sp modelId="{D2B32FE8-B300-4E27-B7E2-297F3F999D4E}">
      <dsp:nvSpPr>
        <dsp:cNvPr id="0" name=""/>
        <dsp:cNvSpPr/>
      </dsp:nvSpPr>
      <dsp:spPr>
        <a:xfrm>
          <a:off x="9830113" y="1732577"/>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GARANTIR A SEGURANÇA E PRIVACIDADE </a:t>
          </a:r>
        </a:p>
      </dsp:txBody>
      <dsp:txXfrm>
        <a:off x="9830113" y="1732577"/>
        <a:ext cx="1107543" cy="553771"/>
      </dsp:txXfrm>
    </dsp:sp>
    <dsp:sp modelId="{0B77889B-AAC5-42E4-AC09-1DCA681BCE85}">
      <dsp:nvSpPr>
        <dsp:cNvPr id="0" name=""/>
        <dsp:cNvSpPr/>
      </dsp:nvSpPr>
      <dsp:spPr>
        <a:xfrm>
          <a:off x="9823180"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INTEGRAÇÃO E SINCRONIZAÇÃO DE DADOS</a:t>
          </a:r>
        </a:p>
      </dsp:txBody>
      <dsp:txXfrm>
        <a:off x="9823180" y="2520782"/>
        <a:ext cx="1107543" cy="553771"/>
      </dsp:txXfrm>
    </dsp:sp>
    <dsp:sp modelId="{08E72879-DC68-4B71-817A-C7C0F3436399}">
      <dsp:nvSpPr>
        <dsp:cNvPr id="0" name=""/>
        <dsp:cNvSpPr/>
      </dsp:nvSpPr>
      <dsp:spPr>
        <a:xfrm>
          <a:off x="9823180" y="3286631"/>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PERSONALIZAÇÃO INDIVIDUAL PARA CLIENTES</a:t>
          </a:r>
        </a:p>
      </dsp:txBody>
      <dsp:txXfrm>
        <a:off x="9823180" y="3286631"/>
        <a:ext cx="1107543" cy="553771"/>
      </dsp:txXfrm>
    </dsp:sp>
    <dsp:sp modelId="{3A2A1C1F-CABC-4C98-B728-F262323AA994}">
      <dsp:nvSpPr>
        <dsp:cNvPr id="0" name=""/>
        <dsp:cNvSpPr/>
      </dsp:nvSpPr>
      <dsp:spPr>
        <a:xfrm>
          <a:off x="11004026" y="901731"/>
          <a:ext cx="1197608" cy="553771"/>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TESTES</a:t>
          </a:r>
        </a:p>
      </dsp:txBody>
      <dsp:txXfrm>
        <a:off x="11004026" y="901731"/>
        <a:ext cx="1197608" cy="553771"/>
      </dsp:txXfrm>
    </dsp:sp>
    <dsp:sp modelId="{6BAFA004-7462-4BB3-8CF7-8F0FAE532698}">
      <dsp:nvSpPr>
        <dsp:cNvPr id="0" name=""/>
        <dsp:cNvSpPr/>
      </dsp:nvSpPr>
      <dsp:spPr>
        <a:xfrm>
          <a:off x="11288620" y="172316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TESTES DE QUALIDADE E DESEMPENHO</a:t>
          </a:r>
        </a:p>
      </dsp:txBody>
      <dsp:txXfrm>
        <a:off x="11288620" y="1723162"/>
        <a:ext cx="1107543" cy="553771"/>
      </dsp:txXfrm>
    </dsp:sp>
    <dsp:sp modelId="{8214640F-5D66-49B2-997F-5F320E255B10}">
      <dsp:nvSpPr>
        <dsp:cNvPr id="0" name=""/>
        <dsp:cNvSpPr/>
      </dsp:nvSpPr>
      <dsp:spPr>
        <a:xfrm>
          <a:off x="11282063"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TESTES DE USABILIDADE</a:t>
          </a:r>
        </a:p>
      </dsp:txBody>
      <dsp:txXfrm>
        <a:off x="11282063" y="2520782"/>
        <a:ext cx="1107543" cy="553771"/>
      </dsp:txXfrm>
    </dsp:sp>
    <dsp:sp modelId="{0CE7C8B4-F8E6-429D-8C4A-73E9D60DCB81}">
      <dsp:nvSpPr>
        <dsp:cNvPr id="0" name=""/>
        <dsp:cNvSpPr/>
      </dsp:nvSpPr>
      <dsp:spPr>
        <a:xfrm>
          <a:off x="11277356" y="3292175"/>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IDENTIFICAÇÃO E CORREÇÃO DE BUGS</a:t>
          </a:r>
        </a:p>
      </dsp:txBody>
      <dsp:txXfrm>
        <a:off x="11277356" y="3292175"/>
        <a:ext cx="1107543" cy="553771"/>
      </dsp:txXfrm>
    </dsp:sp>
    <dsp:sp modelId="{9A681887-5350-4EBE-BD43-C7E4297AB1BB}">
      <dsp:nvSpPr>
        <dsp:cNvPr id="0" name=""/>
        <dsp:cNvSpPr/>
      </dsp:nvSpPr>
      <dsp:spPr>
        <a:xfrm>
          <a:off x="12423951" y="915686"/>
          <a:ext cx="1107543" cy="553771"/>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ENTREGA</a:t>
          </a:r>
        </a:p>
      </dsp:txBody>
      <dsp:txXfrm>
        <a:off x="12423951" y="915686"/>
        <a:ext cx="1107543" cy="553771"/>
      </dsp:txXfrm>
    </dsp:sp>
    <dsp:sp modelId="{A4073290-40FA-4447-A63D-A2A271E69369}">
      <dsp:nvSpPr>
        <dsp:cNvPr id="0" name=""/>
        <dsp:cNvSpPr/>
      </dsp:nvSpPr>
      <dsp:spPr>
        <a:xfrm>
          <a:off x="12671100" y="174653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APRESENTAÇÃO</a:t>
          </a:r>
        </a:p>
      </dsp:txBody>
      <dsp:txXfrm>
        <a:off x="12671100" y="1746532"/>
        <a:ext cx="1107543" cy="553771"/>
      </dsp:txXfrm>
    </dsp:sp>
    <dsp:sp modelId="{CC7BE9CC-9E44-4B05-9B0E-850124C3547A}">
      <dsp:nvSpPr>
        <dsp:cNvPr id="0" name=""/>
        <dsp:cNvSpPr/>
      </dsp:nvSpPr>
      <dsp:spPr>
        <a:xfrm>
          <a:off x="12669228" y="2522637"/>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AVALIAÇÃO</a:t>
          </a:r>
        </a:p>
      </dsp:txBody>
      <dsp:txXfrm>
        <a:off x="12669228" y="2522637"/>
        <a:ext cx="1107543" cy="553771"/>
      </dsp:txXfrm>
    </dsp:sp>
    <dsp:sp modelId="{55EC4157-21BA-4613-8860-42E031585862}">
      <dsp:nvSpPr>
        <dsp:cNvPr id="0" name=""/>
        <dsp:cNvSpPr/>
      </dsp:nvSpPr>
      <dsp:spPr>
        <a:xfrm>
          <a:off x="12691589" y="3291333"/>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FEEDBACK</a:t>
          </a:r>
        </a:p>
      </dsp:txBody>
      <dsp:txXfrm>
        <a:off x="12691589" y="3291333"/>
        <a:ext cx="1107543" cy="553771"/>
      </dsp:txXfrm>
    </dsp:sp>
    <dsp:sp modelId="{31EB5587-12D6-4963-92EA-B8DD5F2E0388}">
      <dsp:nvSpPr>
        <dsp:cNvPr id="0" name=""/>
        <dsp:cNvSpPr/>
      </dsp:nvSpPr>
      <dsp:spPr>
        <a:xfrm>
          <a:off x="13764079" y="915686"/>
          <a:ext cx="1107543" cy="553771"/>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PÓS-LANÇAMENTO E APERFEIÇOAMENTO</a:t>
          </a:r>
        </a:p>
      </dsp:txBody>
      <dsp:txXfrm>
        <a:off x="13764079" y="915686"/>
        <a:ext cx="1107543" cy="553771"/>
      </dsp:txXfrm>
    </dsp:sp>
    <dsp:sp modelId="{131658AD-CAD5-4F1C-8251-78F6ED9857F2}">
      <dsp:nvSpPr>
        <dsp:cNvPr id="0" name=""/>
        <dsp:cNvSpPr/>
      </dsp:nvSpPr>
      <dsp:spPr>
        <a:xfrm>
          <a:off x="13979230" y="1734426"/>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MONITORAMENTO DE USO</a:t>
          </a:r>
        </a:p>
      </dsp:txBody>
      <dsp:txXfrm>
        <a:off x="13979230" y="1734426"/>
        <a:ext cx="1107543" cy="553771"/>
      </dsp:txXfrm>
    </dsp:sp>
    <dsp:sp modelId="{ED5114CC-A71F-4EF9-8C9A-BF469EED5FE3}">
      <dsp:nvSpPr>
        <dsp:cNvPr id="0" name=""/>
        <dsp:cNvSpPr/>
      </dsp:nvSpPr>
      <dsp:spPr>
        <a:xfrm>
          <a:off x="13979230" y="2520782"/>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ATUALIZAÇÕES E MELHORIAS</a:t>
          </a:r>
        </a:p>
      </dsp:txBody>
      <dsp:txXfrm>
        <a:off x="13979230" y="2520782"/>
        <a:ext cx="1107543" cy="553771"/>
      </dsp:txXfrm>
    </dsp:sp>
    <dsp:sp modelId="{6D6838A9-157D-4D38-8F74-04F46BCF8562}">
      <dsp:nvSpPr>
        <dsp:cNvPr id="0" name=""/>
        <dsp:cNvSpPr/>
      </dsp:nvSpPr>
      <dsp:spPr>
        <a:xfrm>
          <a:off x="13979230" y="3307138"/>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EXPANSÃO</a:t>
          </a:r>
        </a:p>
      </dsp:txBody>
      <dsp:txXfrm>
        <a:off x="13979230" y="3307138"/>
        <a:ext cx="1107543" cy="553771"/>
      </dsp:txXfrm>
    </dsp:sp>
    <dsp:sp modelId="{548BBFAF-9972-4B32-BF41-8B8A21C1D17D}">
      <dsp:nvSpPr>
        <dsp:cNvPr id="0" name=""/>
        <dsp:cNvSpPr/>
      </dsp:nvSpPr>
      <dsp:spPr>
        <a:xfrm>
          <a:off x="13979230" y="4093493"/>
          <a:ext cx="1107543" cy="553771"/>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kern="1200"/>
            <a:t>ANÁLISE DE NOVAS FUNCIONALIDADES</a:t>
          </a:r>
        </a:p>
      </dsp:txBody>
      <dsp:txXfrm>
        <a:off x="13979230" y="4093493"/>
        <a:ext cx="1107543" cy="55377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585106</xdr:colOff>
      <xdr:row>7</xdr:row>
      <xdr:rowOff>54428</xdr:rowOff>
    </xdr:from>
    <xdr:to>
      <xdr:col>9</xdr:col>
      <xdr:colOff>146956</xdr:colOff>
      <xdr:row>37</xdr:row>
      <xdr:rowOff>146957</xdr:rowOff>
    </xdr:to>
    <xdr:pic>
      <xdr:nvPicPr>
        <xdr:cNvPr id="3" name="Imagem 2">
          <a:extLst>
            <a:ext uri="{FF2B5EF4-FFF2-40B4-BE49-F238E27FC236}">
              <a16:creationId xmlns:a16="http://schemas.microsoft.com/office/drawing/2014/main" id="{D9F3B658-BAAA-49A2-B9D5-506360651FCB}"/>
            </a:ext>
          </a:extLst>
        </xdr:cNvPr>
        <xdr:cNvPicPr>
          <a:picLocks noChangeAspect="1"/>
        </xdr:cNvPicPr>
      </xdr:nvPicPr>
      <xdr:blipFill>
        <a:blip xmlns:r="http://schemas.openxmlformats.org/officeDocument/2006/relationships" r:embed="rId1"/>
        <a:stretch>
          <a:fillRect/>
        </a:stretch>
      </xdr:blipFill>
      <xdr:spPr>
        <a:xfrm>
          <a:off x="1809749" y="1197428"/>
          <a:ext cx="3848100" cy="4991100"/>
        </a:xfrm>
        <a:prstGeom prst="rect">
          <a:avLst/>
        </a:prstGeom>
      </xdr:spPr>
    </xdr:pic>
    <xdr:clientData/>
  </xdr:twoCellAnchor>
  <xdr:twoCellAnchor editAs="oneCell">
    <xdr:from>
      <xdr:col>9</xdr:col>
      <xdr:colOff>204107</xdr:colOff>
      <xdr:row>5</xdr:row>
      <xdr:rowOff>81643</xdr:rowOff>
    </xdr:from>
    <xdr:to>
      <xdr:col>15</xdr:col>
      <xdr:colOff>406854</xdr:colOff>
      <xdr:row>36</xdr:row>
      <xdr:rowOff>48986</xdr:rowOff>
    </xdr:to>
    <xdr:pic>
      <xdr:nvPicPr>
        <xdr:cNvPr id="9" name="Imagem 8">
          <a:extLst>
            <a:ext uri="{FF2B5EF4-FFF2-40B4-BE49-F238E27FC236}">
              <a16:creationId xmlns:a16="http://schemas.microsoft.com/office/drawing/2014/main" id="{3F6BAAA6-DBD6-4048-A8E1-11F95CF9D0EA}"/>
            </a:ext>
          </a:extLst>
        </xdr:cNvPr>
        <xdr:cNvPicPr>
          <a:picLocks noChangeAspect="1"/>
        </xdr:cNvPicPr>
      </xdr:nvPicPr>
      <xdr:blipFill>
        <a:blip xmlns:r="http://schemas.openxmlformats.org/officeDocument/2006/relationships" r:embed="rId2"/>
        <a:stretch>
          <a:fillRect/>
        </a:stretch>
      </xdr:blipFill>
      <xdr:spPr>
        <a:xfrm>
          <a:off x="5715000" y="898072"/>
          <a:ext cx="3876675" cy="5029200"/>
        </a:xfrm>
        <a:prstGeom prst="rect">
          <a:avLst/>
        </a:prstGeom>
      </xdr:spPr>
    </xdr:pic>
    <xdr:clientData/>
  </xdr:twoCellAnchor>
  <xdr:twoCellAnchor editAs="oneCell">
    <xdr:from>
      <xdr:col>16</xdr:col>
      <xdr:colOff>27213</xdr:colOff>
      <xdr:row>5</xdr:row>
      <xdr:rowOff>81642</xdr:rowOff>
    </xdr:from>
    <xdr:to>
      <xdr:col>22</xdr:col>
      <xdr:colOff>210910</xdr:colOff>
      <xdr:row>36</xdr:row>
      <xdr:rowOff>10885</xdr:rowOff>
    </xdr:to>
    <xdr:pic>
      <xdr:nvPicPr>
        <xdr:cNvPr id="10" name="Imagem 9">
          <a:extLst>
            <a:ext uri="{FF2B5EF4-FFF2-40B4-BE49-F238E27FC236}">
              <a16:creationId xmlns:a16="http://schemas.microsoft.com/office/drawing/2014/main" id="{682DCB07-1A20-4B14-BDEF-81E98E6C3CAD}"/>
            </a:ext>
          </a:extLst>
        </xdr:cNvPr>
        <xdr:cNvPicPr>
          <a:picLocks noChangeAspect="1"/>
        </xdr:cNvPicPr>
      </xdr:nvPicPr>
      <xdr:blipFill>
        <a:blip xmlns:r="http://schemas.openxmlformats.org/officeDocument/2006/relationships" r:embed="rId3"/>
        <a:stretch>
          <a:fillRect/>
        </a:stretch>
      </xdr:blipFill>
      <xdr:spPr>
        <a:xfrm>
          <a:off x="9824356" y="898071"/>
          <a:ext cx="3857625" cy="4991100"/>
        </a:xfrm>
        <a:prstGeom prst="rect">
          <a:avLst/>
        </a:prstGeom>
      </xdr:spPr>
    </xdr:pic>
    <xdr:clientData/>
  </xdr:twoCellAnchor>
  <xdr:twoCellAnchor editAs="oneCell">
    <xdr:from>
      <xdr:col>22</xdr:col>
      <xdr:colOff>435429</xdr:colOff>
      <xdr:row>5</xdr:row>
      <xdr:rowOff>108857</xdr:rowOff>
    </xdr:from>
    <xdr:to>
      <xdr:col>29</xdr:col>
      <xdr:colOff>16329</xdr:colOff>
      <xdr:row>36</xdr:row>
      <xdr:rowOff>38100</xdr:rowOff>
    </xdr:to>
    <xdr:pic>
      <xdr:nvPicPr>
        <xdr:cNvPr id="11" name="Imagem 10">
          <a:extLst>
            <a:ext uri="{FF2B5EF4-FFF2-40B4-BE49-F238E27FC236}">
              <a16:creationId xmlns:a16="http://schemas.microsoft.com/office/drawing/2014/main" id="{F737F027-5107-40C8-ABC1-2DC69CDA2E42}"/>
            </a:ext>
          </a:extLst>
        </xdr:cNvPr>
        <xdr:cNvPicPr>
          <a:picLocks noChangeAspect="1"/>
        </xdr:cNvPicPr>
      </xdr:nvPicPr>
      <xdr:blipFill>
        <a:blip xmlns:r="http://schemas.openxmlformats.org/officeDocument/2006/relationships" r:embed="rId4"/>
        <a:stretch>
          <a:fillRect/>
        </a:stretch>
      </xdr:blipFill>
      <xdr:spPr>
        <a:xfrm>
          <a:off x="13906500" y="925286"/>
          <a:ext cx="3867150" cy="4991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428625</xdr:colOff>
      <xdr:row>1</xdr:row>
      <xdr:rowOff>180975</xdr:rowOff>
    </xdr:from>
    <xdr:to>
      <xdr:col>26</xdr:col>
      <xdr:colOff>57149</xdr:colOff>
      <xdr:row>39</xdr:row>
      <xdr:rowOff>133350</xdr:rowOff>
    </xdr:to>
    <xdr:graphicFrame macro="">
      <xdr:nvGraphicFramePr>
        <xdr:cNvPr id="3" name="Diagrama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oneCellAnchor>
    <xdr:from>
      <xdr:col>12</xdr:col>
      <xdr:colOff>253873</xdr:colOff>
      <xdr:row>2</xdr:row>
      <xdr:rowOff>115735</xdr:rowOff>
    </xdr:from>
    <xdr:ext cx="1351909" cy="417807"/>
    <xdr:sp macro="" textlink="">
      <xdr:nvSpPr>
        <xdr:cNvPr id="2" name="CaixaDeTexto 1">
          <a:extLst>
            <a:ext uri="{FF2B5EF4-FFF2-40B4-BE49-F238E27FC236}">
              <a16:creationId xmlns:a16="http://schemas.microsoft.com/office/drawing/2014/main" id="{833014A3-9158-4B7F-B140-08148465F42F}"/>
            </a:ext>
          </a:extLst>
        </xdr:cNvPr>
        <xdr:cNvSpPr txBox="1"/>
      </xdr:nvSpPr>
      <xdr:spPr>
        <a:xfrm>
          <a:off x="7587099" y="525412"/>
          <a:ext cx="1351909"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800">
              <a:solidFill>
                <a:schemeClr val="bg1"/>
              </a:solidFill>
              <a:latin typeface="Arial Black" panose="020B0A04020102020204" pitchFamily="34" charset="0"/>
            </a:rPr>
            <a:t>FIDELIZE</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13607</xdr:colOff>
      <xdr:row>0</xdr:row>
      <xdr:rowOff>0</xdr:rowOff>
    </xdr:from>
    <xdr:to>
      <xdr:col>2</xdr:col>
      <xdr:colOff>53662</xdr:colOff>
      <xdr:row>6</xdr:row>
      <xdr:rowOff>11300</xdr:rowOff>
    </xdr:to>
    <xdr:pic>
      <xdr:nvPicPr>
        <xdr:cNvPr id="2" name="Imagem 1" descr="Logotipo De Saúde E Bem Estar Design De Logotipo De Centro ...">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9720" y="0"/>
          <a:ext cx="630336" cy="10952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2217420</xdr:colOff>
      <xdr:row>0</xdr:row>
      <xdr:rowOff>0</xdr:rowOff>
    </xdr:from>
    <xdr:to>
      <xdr:col>3</xdr:col>
      <xdr:colOff>387352</xdr:colOff>
      <xdr:row>0</xdr:row>
      <xdr:rowOff>14214</xdr:rowOff>
    </xdr:to>
    <xdr:pic>
      <xdr:nvPicPr>
        <xdr:cNvPr id="3" name="Imagem 2" descr="Logotipo De Saúde E Bem Estar Design De Logotipo De Centro ...">
          <a:extLst>
            <a:ext uri="{FF2B5EF4-FFF2-40B4-BE49-F238E27FC236}">
              <a16:creationId xmlns:a16="http://schemas.microsoft.com/office/drawing/2014/main" id="{11E648E0-AFAF-43B0-AE5D-C743FB5E7B9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22620" y="392430"/>
          <a:ext cx="389257" cy="7552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103187</xdr:colOff>
      <xdr:row>1</xdr:row>
      <xdr:rowOff>71437</xdr:rowOff>
    </xdr:from>
    <xdr:to>
      <xdr:col>26</xdr:col>
      <xdr:colOff>285750</xdr:colOff>
      <xdr:row>1</xdr:row>
      <xdr:rowOff>79370</xdr:rowOff>
    </xdr:to>
    <xdr:cxnSp macro="">
      <xdr:nvCxnSpPr>
        <xdr:cNvPr id="13" name="Conector de Seta Reta 12">
          <a:extLst>
            <a:ext uri="{FF2B5EF4-FFF2-40B4-BE49-F238E27FC236}">
              <a16:creationId xmlns:a16="http://schemas.microsoft.com/office/drawing/2014/main" id="{669F7FB3-0402-44E6-BF76-F809396105B0}"/>
            </a:ext>
          </a:extLst>
        </xdr:cNvPr>
        <xdr:cNvCxnSpPr/>
      </xdr:nvCxnSpPr>
      <xdr:spPr>
        <a:xfrm>
          <a:off x="4385627" y="360997"/>
          <a:ext cx="517843" cy="7933"/>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594732</xdr:colOff>
      <xdr:row>8</xdr:row>
      <xdr:rowOff>185853</xdr:rowOff>
    </xdr:from>
    <xdr:to>
      <xdr:col>29</xdr:col>
      <xdr:colOff>0</xdr:colOff>
      <xdr:row>8</xdr:row>
      <xdr:rowOff>185853</xdr:rowOff>
    </xdr:to>
    <xdr:cxnSp macro="">
      <xdr:nvCxnSpPr>
        <xdr:cNvPr id="19" name="Conector de Seta Reta 18">
          <a:extLst>
            <a:ext uri="{FF2B5EF4-FFF2-40B4-BE49-F238E27FC236}">
              <a16:creationId xmlns:a16="http://schemas.microsoft.com/office/drawing/2014/main" id="{8E39E594-7299-4350-857A-905EC66E286C}"/>
            </a:ext>
          </a:extLst>
        </xdr:cNvPr>
        <xdr:cNvCxnSpPr/>
      </xdr:nvCxnSpPr>
      <xdr:spPr>
        <a:xfrm>
          <a:off x="16327244" y="2072268"/>
          <a:ext cx="247185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20458</xdr:colOff>
      <xdr:row>8</xdr:row>
      <xdr:rowOff>194930</xdr:rowOff>
    </xdr:from>
    <xdr:to>
      <xdr:col>39</xdr:col>
      <xdr:colOff>17721</xdr:colOff>
      <xdr:row>8</xdr:row>
      <xdr:rowOff>203192</xdr:rowOff>
    </xdr:to>
    <xdr:cxnSp macro="">
      <xdr:nvCxnSpPr>
        <xdr:cNvPr id="20" name="Conector de Seta Reta 19">
          <a:extLst>
            <a:ext uri="{FF2B5EF4-FFF2-40B4-BE49-F238E27FC236}">
              <a16:creationId xmlns:a16="http://schemas.microsoft.com/office/drawing/2014/main" id="{F6787DF2-2906-4585-AB93-EC9E88A40493}"/>
            </a:ext>
          </a:extLst>
        </xdr:cNvPr>
        <xdr:cNvCxnSpPr/>
      </xdr:nvCxnSpPr>
      <xdr:spPr>
        <a:xfrm flipV="1">
          <a:off x="23683807" y="2096977"/>
          <a:ext cx="1214100" cy="8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2324</xdr:colOff>
      <xdr:row>8</xdr:row>
      <xdr:rowOff>8965</xdr:rowOff>
    </xdr:from>
    <xdr:to>
      <xdr:col>40</xdr:col>
      <xdr:colOff>8965</xdr:colOff>
      <xdr:row>8</xdr:row>
      <xdr:rowOff>199343</xdr:rowOff>
    </xdr:to>
    <xdr:cxnSp macro="">
      <xdr:nvCxnSpPr>
        <xdr:cNvPr id="21" name="Conector de Seta Reta 20">
          <a:extLst>
            <a:ext uri="{FF2B5EF4-FFF2-40B4-BE49-F238E27FC236}">
              <a16:creationId xmlns:a16="http://schemas.microsoft.com/office/drawing/2014/main" id="{0F8DE449-16E4-47D8-B77A-F3990A155316}"/>
            </a:ext>
          </a:extLst>
        </xdr:cNvPr>
        <xdr:cNvCxnSpPr/>
      </xdr:nvCxnSpPr>
      <xdr:spPr>
        <a:xfrm flipV="1">
          <a:off x="23597430" y="1900518"/>
          <a:ext cx="1835441" cy="1903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590698</xdr:colOff>
      <xdr:row>8</xdr:row>
      <xdr:rowOff>0</xdr:rowOff>
    </xdr:from>
    <xdr:to>
      <xdr:col>43</xdr:col>
      <xdr:colOff>11814</xdr:colOff>
      <xdr:row>8</xdr:row>
      <xdr:rowOff>11813</xdr:rowOff>
    </xdr:to>
    <xdr:cxnSp macro="">
      <xdr:nvCxnSpPr>
        <xdr:cNvPr id="22" name="Conector de Seta Reta 21">
          <a:extLst>
            <a:ext uri="{FF2B5EF4-FFF2-40B4-BE49-F238E27FC236}">
              <a16:creationId xmlns:a16="http://schemas.microsoft.com/office/drawing/2014/main" id="{0CA674E0-4ED9-4BE2-A0C8-1738D7F611B1}"/>
            </a:ext>
          </a:extLst>
        </xdr:cNvPr>
        <xdr:cNvCxnSpPr/>
      </xdr:nvCxnSpPr>
      <xdr:spPr>
        <a:xfrm>
          <a:off x="25470884" y="1902047"/>
          <a:ext cx="1854790" cy="118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597453</xdr:colOff>
      <xdr:row>8</xdr:row>
      <xdr:rowOff>198549</xdr:rowOff>
    </xdr:from>
    <xdr:to>
      <xdr:col>33</xdr:col>
      <xdr:colOff>37171</xdr:colOff>
      <xdr:row>8</xdr:row>
      <xdr:rowOff>204439</xdr:rowOff>
    </xdr:to>
    <xdr:cxnSp macro="">
      <xdr:nvCxnSpPr>
        <xdr:cNvPr id="23" name="Conector de Seta Reta 22">
          <a:extLst>
            <a:ext uri="{FF2B5EF4-FFF2-40B4-BE49-F238E27FC236}">
              <a16:creationId xmlns:a16="http://schemas.microsoft.com/office/drawing/2014/main" id="{F1D11DA5-BB81-4F77-9817-3B51797E2F17}"/>
            </a:ext>
          </a:extLst>
        </xdr:cNvPr>
        <xdr:cNvCxnSpPr/>
      </xdr:nvCxnSpPr>
      <xdr:spPr>
        <a:xfrm>
          <a:off x="18783233" y="2084964"/>
          <a:ext cx="2506304" cy="5890"/>
        </a:xfrm>
        <a:prstGeom prst="straightConnector1">
          <a:avLst/>
        </a:prstGeom>
        <a:ln w="127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11814</xdr:colOff>
      <xdr:row>8</xdr:row>
      <xdr:rowOff>29534</xdr:rowOff>
    </xdr:from>
    <xdr:to>
      <xdr:col>42</xdr:col>
      <xdr:colOff>590698</xdr:colOff>
      <xdr:row>8</xdr:row>
      <xdr:rowOff>189023</xdr:rowOff>
    </xdr:to>
    <xdr:cxnSp macro="">
      <xdr:nvCxnSpPr>
        <xdr:cNvPr id="24" name="Conector de Seta Reta 23">
          <a:extLst>
            <a:ext uri="{FF2B5EF4-FFF2-40B4-BE49-F238E27FC236}">
              <a16:creationId xmlns:a16="http://schemas.microsoft.com/office/drawing/2014/main" id="{D02D4575-477D-4703-ADC9-F1C5A9C5FB21}"/>
            </a:ext>
          </a:extLst>
        </xdr:cNvPr>
        <xdr:cNvCxnSpPr/>
      </xdr:nvCxnSpPr>
      <xdr:spPr>
        <a:xfrm flipV="1">
          <a:off x="24892000" y="1931581"/>
          <a:ext cx="2404140" cy="159489"/>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10842</xdr:colOff>
      <xdr:row>5</xdr:row>
      <xdr:rowOff>74342</xdr:rowOff>
    </xdr:from>
    <xdr:to>
      <xdr:col>37</xdr:col>
      <xdr:colOff>18586</xdr:colOff>
      <xdr:row>8</xdr:row>
      <xdr:rowOff>184107</xdr:rowOff>
    </xdr:to>
    <xdr:cxnSp macro="">
      <xdr:nvCxnSpPr>
        <xdr:cNvPr id="26" name="Conector de Seta Reta 25">
          <a:extLst>
            <a:ext uri="{FF2B5EF4-FFF2-40B4-BE49-F238E27FC236}">
              <a16:creationId xmlns:a16="http://schemas.microsoft.com/office/drawing/2014/main" id="{CC5B8F04-DD51-414F-BEAA-0333C9C666B5}"/>
            </a:ext>
          </a:extLst>
        </xdr:cNvPr>
        <xdr:cNvCxnSpPr/>
      </xdr:nvCxnSpPr>
      <xdr:spPr>
        <a:xfrm flipV="1">
          <a:off x="21263208" y="1208049"/>
          <a:ext cx="2461012" cy="8624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9347</xdr:colOff>
      <xdr:row>5</xdr:row>
      <xdr:rowOff>189023</xdr:rowOff>
    </xdr:from>
    <xdr:to>
      <xdr:col>55</xdr:col>
      <xdr:colOff>5907</xdr:colOff>
      <xdr:row>8</xdr:row>
      <xdr:rowOff>1434</xdr:rowOff>
    </xdr:to>
    <xdr:cxnSp macro="">
      <xdr:nvCxnSpPr>
        <xdr:cNvPr id="27" name="Conector de Seta Reta 26">
          <a:extLst>
            <a:ext uri="{FF2B5EF4-FFF2-40B4-BE49-F238E27FC236}">
              <a16:creationId xmlns:a16="http://schemas.microsoft.com/office/drawing/2014/main" id="{C89D102C-F868-4A51-AA21-6A6BB1AE7647}"/>
            </a:ext>
          </a:extLst>
        </xdr:cNvPr>
        <xdr:cNvCxnSpPr/>
      </xdr:nvCxnSpPr>
      <xdr:spPr>
        <a:xfrm flipV="1">
          <a:off x="28540045" y="1329070"/>
          <a:ext cx="6080746" cy="574411"/>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9293</xdr:colOff>
      <xdr:row>8</xdr:row>
      <xdr:rowOff>223024</xdr:rowOff>
    </xdr:from>
    <xdr:to>
      <xdr:col>37</xdr:col>
      <xdr:colOff>9293</xdr:colOff>
      <xdr:row>9</xdr:row>
      <xdr:rowOff>111512</xdr:rowOff>
    </xdr:to>
    <xdr:cxnSp macro="">
      <xdr:nvCxnSpPr>
        <xdr:cNvPr id="30" name="Conector de Seta Reta 29">
          <a:extLst>
            <a:ext uri="{FF2B5EF4-FFF2-40B4-BE49-F238E27FC236}">
              <a16:creationId xmlns:a16="http://schemas.microsoft.com/office/drawing/2014/main" id="{641A6E36-CBDF-4EBF-B317-408C8AE3DE99}"/>
            </a:ext>
          </a:extLst>
        </xdr:cNvPr>
        <xdr:cNvCxnSpPr/>
      </xdr:nvCxnSpPr>
      <xdr:spPr>
        <a:xfrm>
          <a:off x="21261659" y="2109439"/>
          <a:ext cx="2453268" cy="1393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31565</xdr:colOff>
      <xdr:row>5</xdr:row>
      <xdr:rowOff>159488</xdr:rowOff>
    </xdr:from>
    <xdr:to>
      <xdr:col>94</xdr:col>
      <xdr:colOff>0</xdr:colOff>
      <xdr:row>5</xdr:row>
      <xdr:rowOff>160596</xdr:rowOff>
    </xdr:to>
    <xdr:cxnSp macro="">
      <xdr:nvCxnSpPr>
        <xdr:cNvPr id="32" name="Conector de Seta Reta 31">
          <a:extLst>
            <a:ext uri="{FF2B5EF4-FFF2-40B4-BE49-F238E27FC236}">
              <a16:creationId xmlns:a16="http://schemas.microsoft.com/office/drawing/2014/main" id="{DB63CC33-9918-4758-AC65-90959AE9E567}"/>
            </a:ext>
          </a:extLst>
        </xdr:cNvPr>
        <xdr:cNvCxnSpPr/>
      </xdr:nvCxnSpPr>
      <xdr:spPr>
        <a:xfrm flipV="1">
          <a:off x="54724263" y="1299535"/>
          <a:ext cx="3618946" cy="11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5482</xdr:colOff>
      <xdr:row>8</xdr:row>
      <xdr:rowOff>197352</xdr:rowOff>
    </xdr:from>
    <xdr:to>
      <xdr:col>37</xdr:col>
      <xdr:colOff>6558</xdr:colOff>
      <xdr:row>9</xdr:row>
      <xdr:rowOff>112111</xdr:rowOff>
    </xdr:to>
    <xdr:cxnSp macro="">
      <xdr:nvCxnSpPr>
        <xdr:cNvPr id="33" name="Conector de Seta Reta 32">
          <a:extLst>
            <a:ext uri="{FF2B5EF4-FFF2-40B4-BE49-F238E27FC236}">
              <a16:creationId xmlns:a16="http://schemas.microsoft.com/office/drawing/2014/main" id="{14BE665B-E610-423F-A452-7CEF15A6ED27}"/>
            </a:ext>
          </a:extLst>
        </xdr:cNvPr>
        <xdr:cNvCxnSpPr/>
      </xdr:nvCxnSpPr>
      <xdr:spPr>
        <a:xfrm flipH="1" flipV="1">
          <a:off x="23638446" y="2094129"/>
          <a:ext cx="1076" cy="166932"/>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18585</xdr:colOff>
      <xdr:row>8</xdr:row>
      <xdr:rowOff>27878</xdr:rowOff>
    </xdr:from>
    <xdr:to>
      <xdr:col>37</xdr:col>
      <xdr:colOff>9293</xdr:colOff>
      <xdr:row>8</xdr:row>
      <xdr:rowOff>204439</xdr:rowOff>
    </xdr:to>
    <xdr:cxnSp macro="">
      <xdr:nvCxnSpPr>
        <xdr:cNvPr id="4" name="Conector de Seta Reta 3">
          <a:extLst>
            <a:ext uri="{FF2B5EF4-FFF2-40B4-BE49-F238E27FC236}">
              <a16:creationId xmlns:a16="http://schemas.microsoft.com/office/drawing/2014/main" id="{E3249FF5-D05B-4E62-935A-9E4C6429566B}"/>
            </a:ext>
          </a:extLst>
        </xdr:cNvPr>
        <xdr:cNvCxnSpPr/>
      </xdr:nvCxnSpPr>
      <xdr:spPr>
        <a:xfrm flipV="1">
          <a:off x="21270951" y="1914293"/>
          <a:ext cx="2443976" cy="1765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5462</xdr:colOff>
      <xdr:row>8</xdr:row>
      <xdr:rowOff>17821</xdr:rowOff>
    </xdr:from>
    <xdr:to>
      <xdr:col>37</xdr:col>
      <xdr:colOff>5482</xdr:colOff>
      <xdr:row>8</xdr:row>
      <xdr:rowOff>197352</xdr:rowOff>
    </xdr:to>
    <xdr:cxnSp macro="">
      <xdr:nvCxnSpPr>
        <xdr:cNvPr id="15" name="Conector de Seta Reta 14">
          <a:extLst>
            <a:ext uri="{FF2B5EF4-FFF2-40B4-BE49-F238E27FC236}">
              <a16:creationId xmlns:a16="http://schemas.microsoft.com/office/drawing/2014/main" id="{297612B3-D67B-419C-A406-D340AB2B1171}"/>
            </a:ext>
          </a:extLst>
        </xdr:cNvPr>
        <xdr:cNvCxnSpPr/>
      </xdr:nvCxnSpPr>
      <xdr:spPr>
        <a:xfrm>
          <a:off x="23638426" y="1914598"/>
          <a:ext cx="20" cy="179531"/>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17721</xdr:colOff>
      <xdr:row>8</xdr:row>
      <xdr:rowOff>218558</xdr:rowOff>
    </xdr:from>
    <xdr:to>
      <xdr:col>39</xdr:col>
      <xdr:colOff>17721</xdr:colOff>
      <xdr:row>10</xdr:row>
      <xdr:rowOff>5906</xdr:rowOff>
    </xdr:to>
    <xdr:cxnSp macro="">
      <xdr:nvCxnSpPr>
        <xdr:cNvPr id="41" name="Conector de Seta Reta 40">
          <a:extLst>
            <a:ext uri="{FF2B5EF4-FFF2-40B4-BE49-F238E27FC236}">
              <a16:creationId xmlns:a16="http://schemas.microsoft.com/office/drawing/2014/main" id="{D1496A7C-9D53-4F0D-A2FD-B7B26ADB61AD}"/>
            </a:ext>
          </a:extLst>
        </xdr:cNvPr>
        <xdr:cNvCxnSpPr/>
      </xdr:nvCxnSpPr>
      <xdr:spPr>
        <a:xfrm>
          <a:off x="23681070" y="2120605"/>
          <a:ext cx="1216837" cy="2953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4726</xdr:colOff>
      <xdr:row>8</xdr:row>
      <xdr:rowOff>17720</xdr:rowOff>
    </xdr:from>
    <xdr:to>
      <xdr:col>43</xdr:col>
      <xdr:colOff>11814</xdr:colOff>
      <xdr:row>10</xdr:row>
      <xdr:rowOff>4726</xdr:rowOff>
    </xdr:to>
    <xdr:cxnSp macro="">
      <xdr:nvCxnSpPr>
        <xdr:cNvPr id="50" name="Conector de Seta Reta 49">
          <a:extLst>
            <a:ext uri="{FF2B5EF4-FFF2-40B4-BE49-F238E27FC236}">
              <a16:creationId xmlns:a16="http://schemas.microsoft.com/office/drawing/2014/main" id="{71FC205A-E20A-464C-81C7-1D0FD026CF20}"/>
            </a:ext>
          </a:extLst>
        </xdr:cNvPr>
        <xdr:cNvCxnSpPr/>
      </xdr:nvCxnSpPr>
      <xdr:spPr>
        <a:xfrm flipV="1">
          <a:off x="24884912" y="1919767"/>
          <a:ext cx="2440762" cy="495006"/>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4727</xdr:colOff>
      <xdr:row>7</xdr:row>
      <xdr:rowOff>248093</xdr:rowOff>
    </xdr:from>
    <xdr:to>
      <xdr:col>45</xdr:col>
      <xdr:colOff>29535</xdr:colOff>
      <xdr:row>8</xdr:row>
      <xdr:rowOff>10632</xdr:rowOff>
    </xdr:to>
    <xdr:cxnSp macro="">
      <xdr:nvCxnSpPr>
        <xdr:cNvPr id="52" name="Conector de Seta Reta 51">
          <a:extLst>
            <a:ext uri="{FF2B5EF4-FFF2-40B4-BE49-F238E27FC236}">
              <a16:creationId xmlns:a16="http://schemas.microsoft.com/office/drawing/2014/main" id="{27EDFF6A-DE5B-4F83-98CF-AB04280180AC}"/>
            </a:ext>
          </a:extLst>
        </xdr:cNvPr>
        <xdr:cNvCxnSpPr/>
      </xdr:nvCxnSpPr>
      <xdr:spPr>
        <a:xfrm flipV="1">
          <a:off x="27318587" y="1896140"/>
          <a:ext cx="1241646" cy="165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5906</xdr:colOff>
      <xdr:row>5</xdr:row>
      <xdr:rowOff>82697</xdr:rowOff>
    </xdr:from>
    <xdr:to>
      <xdr:col>44</xdr:col>
      <xdr:colOff>5907</xdr:colOff>
      <xdr:row>5</xdr:row>
      <xdr:rowOff>124046</xdr:rowOff>
    </xdr:to>
    <xdr:cxnSp macro="">
      <xdr:nvCxnSpPr>
        <xdr:cNvPr id="54" name="Conector de Seta Reta 53">
          <a:extLst>
            <a:ext uri="{FF2B5EF4-FFF2-40B4-BE49-F238E27FC236}">
              <a16:creationId xmlns:a16="http://schemas.microsoft.com/office/drawing/2014/main" id="{0EDD28C5-8C6B-48EE-A136-C59BD7A57B85}"/>
            </a:ext>
          </a:extLst>
        </xdr:cNvPr>
        <xdr:cNvCxnSpPr/>
      </xdr:nvCxnSpPr>
      <xdr:spPr>
        <a:xfrm>
          <a:off x="23669255" y="1222744"/>
          <a:ext cx="4258931" cy="413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595423</xdr:colOff>
      <xdr:row>5</xdr:row>
      <xdr:rowOff>128772</xdr:rowOff>
    </xdr:from>
    <xdr:to>
      <xdr:col>50</xdr:col>
      <xdr:colOff>595423</xdr:colOff>
      <xdr:row>5</xdr:row>
      <xdr:rowOff>170121</xdr:rowOff>
    </xdr:to>
    <xdr:cxnSp macro="">
      <xdr:nvCxnSpPr>
        <xdr:cNvPr id="56" name="Conector de Seta Reta 55">
          <a:extLst>
            <a:ext uri="{FF2B5EF4-FFF2-40B4-BE49-F238E27FC236}">
              <a16:creationId xmlns:a16="http://schemas.microsoft.com/office/drawing/2014/main" id="{DF483168-7240-44C8-9000-633144FD5AAE}"/>
            </a:ext>
          </a:extLst>
        </xdr:cNvPr>
        <xdr:cNvCxnSpPr/>
      </xdr:nvCxnSpPr>
      <xdr:spPr>
        <a:xfrm>
          <a:off x="27909283" y="1268819"/>
          <a:ext cx="4258931" cy="413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588334</xdr:colOff>
      <xdr:row>5</xdr:row>
      <xdr:rowOff>165395</xdr:rowOff>
    </xdr:from>
    <xdr:to>
      <xdr:col>55</xdr:col>
      <xdr:colOff>29535</xdr:colOff>
      <xdr:row>5</xdr:row>
      <xdr:rowOff>174847</xdr:rowOff>
    </xdr:to>
    <xdr:cxnSp macro="">
      <xdr:nvCxnSpPr>
        <xdr:cNvPr id="57" name="Conector de Seta Reta 56">
          <a:extLst>
            <a:ext uri="{FF2B5EF4-FFF2-40B4-BE49-F238E27FC236}">
              <a16:creationId xmlns:a16="http://schemas.microsoft.com/office/drawing/2014/main" id="{FF70F1EC-4E94-4D4A-B032-8C0A7433C772}"/>
            </a:ext>
          </a:extLst>
        </xdr:cNvPr>
        <xdr:cNvCxnSpPr/>
      </xdr:nvCxnSpPr>
      <xdr:spPr>
        <a:xfrm flipV="1">
          <a:off x="32161125" y="1305442"/>
          <a:ext cx="2483294" cy="94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8269</xdr:colOff>
      <xdr:row>5</xdr:row>
      <xdr:rowOff>167759</xdr:rowOff>
    </xdr:from>
    <xdr:to>
      <xdr:col>64</xdr:col>
      <xdr:colOff>602512</xdr:colOff>
      <xdr:row>5</xdr:row>
      <xdr:rowOff>183116</xdr:rowOff>
    </xdr:to>
    <xdr:cxnSp macro="">
      <xdr:nvCxnSpPr>
        <xdr:cNvPr id="60" name="Conector de Seta Reta 59">
          <a:extLst>
            <a:ext uri="{FF2B5EF4-FFF2-40B4-BE49-F238E27FC236}">
              <a16:creationId xmlns:a16="http://schemas.microsoft.com/office/drawing/2014/main" id="{2579D127-CD00-494E-8C76-3929C6CE260B}"/>
            </a:ext>
          </a:extLst>
        </xdr:cNvPr>
        <xdr:cNvCxnSpPr/>
      </xdr:nvCxnSpPr>
      <xdr:spPr>
        <a:xfrm>
          <a:off x="34623153" y="1307806"/>
          <a:ext cx="6070010" cy="153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597786</xdr:colOff>
      <xdr:row>5</xdr:row>
      <xdr:rowOff>171302</xdr:rowOff>
    </xdr:from>
    <xdr:to>
      <xdr:col>75</xdr:col>
      <xdr:colOff>41349</xdr:colOff>
      <xdr:row>5</xdr:row>
      <xdr:rowOff>178392</xdr:rowOff>
    </xdr:to>
    <xdr:cxnSp macro="">
      <xdr:nvCxnSpPr>
        <xdr:cNvPr id="63" name="Conector de Seta Reta 62">
          <a:extLst>
            <a:ext uri="{FF2B5EF4-FFF2-40B4-BE49-F238E27FC236}">
              <a16:creationId xmlns:a16="http://schemas.microsoft.com/office/drawing/2014/main" id="{F12E3D7F-98EE-413D-BDB8-339CFDE73AFD}"/>
            </a:ext>
          </a:extLst>
        </xdr:cNvPr>
        <xdr:cNvCxnSpPr/>
      </xdr:nvCxnSpPr>
      <xdr:spPr>
        <a:xfrm flipV="1">
          <a:off x="40688437" y="1311349"/>
          <a:ext cx="6136168" cy="70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11814</xdr:colOff>
      <xdr:row>5</xdr:row>
      <xdr:rowOff>159488</xdr:rowOff>
    </xdr:from>
    <xdr:to>
      <xdr:col>78</xdr:col>
      <xdr:colOff>29535</xdr:colOff>
      <xdr:row>5</xdr:row>
      <xdr:rowOff>159490</xdr:rowOff>
    </xdr:to>
    <xdr:cxnSp macro="">
      <xdr:nvCxnSpPr>
        <xdr:cNvPr id="64" name="Conector de Seta Reta 63">
          <a:extLst>
            <a:ext uri="{FF2B5EF4-FFF2-40B4-BE49-F238E27FC236}">
              <a16:creationId xmlns:a16="http://schemas.microsoft.com/office/drawing/2014/main" id="{65343588-188B-47C7-B98C-FB5FD28290CF}"/>
            </a:ext>
          </a:extLst>
        </xdr:cNvPr>
        <xdr:cNvCxnSpPr/>
      </xdr:nvCxnSpPr>
      <xdr:spPr>
        <a:xfrm flipV="1">
          <a:off x="46795070" y="1299535"/>
          <a:ext cx="1842977"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10633</xdr:colOff>
      <xdr:row>5</xdr:row>
      <xdr:rowOff>152400</xdr:rowOff>
    </xdr:from>
    <xdr:to>
      <xdr:col>81</xdr:col>
      <xdr:colOff>28355</xdr:colOff>
      <xdr:row>5</xdr:row>
      <xdr:rowOff>152402</xdr:rowOff>
    </xdr:to>
    <xdr:cxnSp macro="">
      <xdr:nvCxnSpPr>
        <xdr:cNvPr id="68" name="Conector de Seta Reta 67">
          <a:extLst>
            <a:ext uri="{FF2B5EF4-FFF2-40B4-BE49-F238E27FC236}">
              <a16:creationId xmlns:a16="http://schemas.microsoft.com/office/drawing/2014/main" id="{CFDA2F2F-039A-422B-A444-AF47AE935035}"/>
            </a:ext>
          </a:extLst>
        </xdr:cNvPr>
        <xdr:cNvCxnSpPr/>
      </xdr:nvCxnSpPr>
      <xdr:spPr>
        <a:xfrm flipV="1">
          <a:off x="48619145" y="1292447"/>
          <a:ext cx="1842977"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11814</xdr:colOff>
      <xdr:row>5</xdr:row>
      <xdr:rowOff>153584</xdr:rowOff>
    </xdr:from>
    <xdr:to>
      <xdr:col>85</xdr:col>
      <xdr:colOff>17721</xdr:colOff>
      <xdr:row>5</xdr:row>
      <xdr:rowOff>159488</xdr:rowOff>
    </xdr:to>
    <xdr:cxnSp macro="">
      <xdr:nvCxnSpPr>
        <xdr:cNvPr id="69" name="Conector de Seta Reta 68">
          <a:extLst>
            <a:ext uri="{FF2B5EF4-FFF2-40B4-BE49-F238E27FC236}">
              <a16:creationId xmlns:a16="http://schemas.microsoft.com/office/drawing/2014/main" id="{8D52ACD7-C13A-42DB-8ED2-0D2545E94B43}"/>
            </a:ext>
          </a:extLst>
        </xdr:cNvPr>
        <xdr:cNvCxnSpPr/>
      </xdr:nvCxnSpPr>
      <xdr:spPr>
        <a:xfrm>
          <a:off x="50445581" y="1293631"/>
          <a:ext cx="2439582" cy="59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607237</xdr:colOff>
      <xdr:row>5</xdr:row>
      <xdr:rowOff>158310</xdr:rowOff>
    </xdr:from>
    <xdr:to>
      <xdr:col>88</xdr:col>
      <xdr:colOff>29535</xdr:colOff>
      <xdr:row>5</xdr:row>
      <xdr:rowOff>159488</xdr:rowOff>
    </xdr:to>
    <xdr:cxnSp macro="">
      <xdr:nvCxnSpPr>
        <xdr:cNvPr id="2" name="Conector de Seta Reta 1">
          <a:extLst>
            <a:ext uri="{FF2B5EF4-FFF2-40B4-BE49-F238E27FC236}">
              <a16:creationId xmlns:a16="http://schemas.microsoft.com/office/drawing/2014/main" id="{738ACFF1-4213-4A74-96F2-3059A2D398FA}"/>
            </a:ext>
          </a:extLst>
        </xdr:cNvPr>
        <xdr:cNvCxnSpPr/>
      </xdr:nvCxnSpPr>
      <xdr:spPr>
        <a:xfrm>
          <a:off x="52866260" y="1298357"/>
          <a:ext cx="1855973" cy="11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93</xdr:col>
      <xdr:colOff>603360</xdr:colOff>
      <xdr:row>5</xdr:row>
      <xdr:rowOff>159415</xdr:rowOff>
    </xdr:from>
    <xdr:to>
      <xdr:col>100</xdr:col>
      <xdr:colOff>5907</xdr:colOff>
      <xdr:row>5</xdr:row>
      <xdr:rowOff>159488</xdr:rowOff>
    </xdr:to>
    <xdr:cxnSp macro="">
      <xdr:nvCxnSpPr>
        <xdr:cNvPr id="6" name="Conector de Seta Reta 5">
          <a:extLst>
            <a:ext uri="{FF2B5EF4-FFF2-40B4-BE49-F238E27FC236}">
              <a16:creationId xmlns:a16="http://schemas.microsoft.com/office/drawing/2014/main" id="{5B30E0DB-8195-4715-8DCE-703E7284FB81}"/>
            </a:ext>
          </a:extLst>
        </xdr:cNvPr>
        <xdr:cNvCxnSpPr/>
      </xdr:nvCxnSpPr>
      <xdr:spPr>
        <a:xfrm>
          <a:off x="58338151" y="1299462"/>
          <a:ext cx="3661477" cy="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99</xdr:col>
      <xdr:colOff>602180</xdr:colOff>
      <xdr:row>5</xdr:row>
      <xdr:rowOff>158234</xdr:rowOff>
    </xdr:from>
    <xdr:to>
      <xdr:col>106</xdr:col>
      <xdr:colOff>4726</xdr:colOff>
      <xdr:row>5</xdr:row>
      <xdr:rowOff>158307</xdr:rowOff>
    </xdr:to>
    <xdr:cxnSp macro="">
      <xdr:nvCxnSpPr>
        <xdr:cNvPr id="8" name="Conector de Seta Reta 7">
          <a:extLst>
            <a:ext uri="{FF2B5EF4-FFF2-40B4-BE49-F238E27FC236}">
              <a16:creationId xmlns:a16="http://schemas.microsoft.com/office/drawing/2014/main" id="{D7E30DB1-FC8B-476F-BB37-96D08D94D87D}"/>
            </a:ext>
          </a:extLst>
        </xdr:cNvPr>
        <xdr:cNvCxnSpPr/>
      </xdr:nvCxnSpPr>
      <xdr:spPr>
        <a:xfrm>
          <a:off x="61987482" y="1298281"/>
          <a:ext cx="3661477" cy="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20</xdr:col>
      <xdr:colOff>39477</xdr:colOff>
      <xdr:row>13</xdr:row>
      <xdr:rowOff>201976</xdr:rowOff>
    </xdr:from>
    <xdr:to>
      <xdr:col>20</xdr:col>
      <xdr:colOff>532481</xdr:colOff>
      <xdr:row>13</xdr:row>
      <xdr:rowOff>208517</xdr:rowOff>
    </xdr:to>
    <xdr:cxnSp macro="">
      <xdr:nvCxnSpPr>
        <xdr:cNvPr id="19" name="Conector de Seta Reta 18">
          <a:extLst>
            <a:ext uri="{FF2B5EF4-FFF2-40B4-BE49-F238E27FC236}">
              <a16:creationId xmlns:a16="http://schemas.microsoft.com/office/drawing/2014/main" id="{39210CC2-4D1F-4608-99FD-0520D00164B0}"/>
            </a:ext>
          </a:extLst>
        </xdr:cNvPr>
        <xdr:cNvCxnSpPr/>
      </xdr:nvCxnSpPr>
      <xdr:spPr>
        <a:xfrm flipV="1">
          <a:off x="15426369" y="3194892"/>
          <a:ext cx="493004" cy="65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1645</xdr:colOff>
      <xdr:row>13</xdr:row>
      <xdr:rowOff>75363</xdr:rowOff>
    </xdr:from>
    <xdr:to>
      <xdr:col>32</xdr:col>
      <xdr:colOff>309824</xdr:colOff>
      <xdr:row>22</xdr:row>
      <xdr:rowOff>224439</xdr:rowOff>
    </xdr:to>
    <xdr:cxnSp macro="">
      <xdr:nvCxnSpPr>
        <xdr:cNvPr id="22" name="Conector de Seta Reta 21">
          <a:extLst>
            <a:ext uri="{FF2B5EF4-FFF2-40B4-BE49-F238E27FC236}">
              <a16:creationId xmlns:a16="http://schemas.microsoft.com/office/drawing/2014/main" id="{CD3F2F03-FF9C-4C7E-82DC-DD00730D3137}"/>
            </a:ext>
          </a:extLst>
        </xdr:cNvPr>
        <xdr:cNvCxnSpPr/>
      </xdr:nvCxnSpPr>
      <xdr:spPr>
        <a:xfrm flipV="1">
          <a:off x="20265821" y="3098242"/>
          <a:ext cx="643124" cy="240995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9180</xdr:colOff>
      <xdr:row>7</xdr:row>
      <xdr:rowOff>201975</xdr:rowOff>
    </xdr:from>
    <xdr:to>
      <xdr:col>23</xdr:col>
      <xdr:colOff>569205</xdr:colOff>
      <xdr:row>12</xdr:row>
      <xdr:rowOff>220337</xdr:rowOff>
    </xdr:to>
    <xdr:cxnSp macro="">
      <xdr:nvCxnSpPr>
        <xdr:cNvPr id="23" name="Conector de Seta Reta 22">
          <a:extLst>
            <a:ext uri="{FF2B5EF4-FFF2-40B4-BE49-F238E27FC236}">
              <a16:creationId xmlns:a16="http://schemas.microsoft.com/office/drawing/2014/main" id="{57C52684-9924-41B6-961C-0D340285EE9F}"/>
            </a:ext>
          </a:extLst>
        </xdr:cNvPr>
        <xdr:cNvCxnSpPr/>
      </xdr:nvCxnSpPr>
      <xdr:spPr>
        <a:xfrm flipV="1">
          <a:off x="17213855" y="1707614"/>
          <a:ext cx="560025" cy="12577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328673</xdr:colOff>
      <xdr:row>13</xdr:row>
      <xdr:rowOff>133978</xdr:rowOff>
    </xdr:from>
    <xdr:to>
      <xdr:col>28</xdr:col>
      <xdr:colOff>284703</xdr:colOff>
      <xdr:row>18</xdr:row>
      <xdr:rowOff>231788</xdr:rowOff>
    </xdr:to>
    <xdr:cxnSp macro="">
      <xdr:nvCxnSpPr>
        <xdr:cNvPr id="24" name="Conector de Seta Reta 23">
          <a:extLst>
            <a:ext uri="{FF2B5EF4-FFF2-40B4-BE49-F238E27FC236}">
              <a16:creationId xmlns:a16="http://schemas.microsoft.com/office/drawing/2014/main" id="{DBFB3C58-83E8-495A-B576-8255F1367616}"/>
            </a:ext>
          </a:extLst>
        </xdr:cNvPr>
        <xdr:cNvCxnSpPr/>
      </xdr:nvCxnSpPr>
      <xdr:spPr>
        <a:xfrm flipV="1">
          <a:off x="18583178" y="3156857"/>
          <a:ext cx="960866" cy="1353854"/>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604362</xdr:colOff>
      <xdr:row>13</xdr:row>
      <xdr:rowOff>246836</xdr:rowOff>
    </xdr:from>
    <xdr:to>
      <xdr:col>24</xdr:col>
      <xdr:colOff>0</xdr:colOff>
      <xdr:row>14</xdr:row>
      <xdr:rowOff>9181</xdr:rowOff>
    </xdr:to>
    <xdr:cxnSp macro="">
      <xdr:nvCxnSpPr>
        <xdr:cNvPr id="26" name="Conector de Seta Reta 25">
          <a:extLst>
            <a:ext uri="{FF2B5EF4-FFF2-40B4-BE49-F238E27FC236}">
              <a16:creationId xmlns:a16="http://schemas.microsoft.com/office/drawing/2014/main" id="{D0FE4716-D6E6-441B-A886-325D479FB1A2}"/>
            </a:ext>
          </a:extLst>
        </xdr:cNvPr>
        <xdr:cNvCxnSpPr/>
      </xdr:nvCxnSpPr>
      <xdr:spPr>
        <a:xfrm>
          <a:off x="17301373" y="3269715"/>
          <a:ext cx="618187" cy="135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16387</xdr:colOff>
      <xdr:row>13</xdr:row>
      <xdr:rowOff>65549</xdr:rowOff>
    </xdr:from>
    <xdr:to>
      <xdr:col>28</xdr:col>
      <xdr:colOff>276329</xdr:colOff>
      <xdr:row>13</xdr:row>
      <xdr:rowOff>83736</xdr:rowOff>
    </xdr:to>
    <xdr:cxnSp macro="">
      <xdr:nvCxnSpPr>
        <xdr:cNvPr id="27" name="Conector de Seta Reta 26">
          <a:extLst>
            <a:ext uri="{FF2B5EF4-FFF2-40B4-BE49-F238E27FC236}">
              <a16:creationId xmlns:a16="http://schemas.microsoft.com/office/drawing/2014/main" id="{6195907A-8FFD-4F1A-9821-22154B58DF49}"/>
            </a:ext>
          </a:extLst>
        </xdr:cNvPr>
        <xdr:cNvCxnSpPr/>
      </xdr:nvCxnSpPr>
      <xdr:spPr>
        <a:xfrm>
          <a:off x="18605838" y="3088428"/>
          <a:ext cx="929832" cy="18187"/>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14688</xdr:colOff>
      <xdr:row>15</xdr:row>
      <xdr:rowOff>143219</xdr:rowOff>
    </xdr:from>
    <xdr:to>
      <xdr:col>23</xdr:col>
      <xdr:colOff>587566</xdr:colOff>
      <xdr:row>20</xdr:row>
      <xdr:rowOff>27542</xdr:rowOff>
    </xdr:to>
    <xdr:cxnSp macro="">
      <xdr:nvCxnSpPr>
        <xdr:cNvPr id="4" name="Conector de Seta Reta 3">
          <a:extLst>
            <a:ext uri="{FF2B5EF4-FFF2-40B4-BE49-F238E27FC236}">
              <a16:creationId xmlns:a16="http://schemas.microsoft.com/office/drawing/2014/main" id="{33C0C983-B03D-4653-A418-811F7357CF35}"/>
            </a:ext>
          </a:extLst>
        </xdr:cNvPr>
        <xdr:cNvCxnSpPr/>
      </xdr:nvCxnSpPr>
      <xdr:spPr>
        <a:xfrm>
          <a:off x="17219363" y="3631894"/>
          <a:ext cx="572878" cy="11237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2717</xdr:colOff>
      <xdr:row>12</xdr:row>
      <xdr:rowOff>246836</xdr:rowOff>
    </xdr:from>
    <xdr:to>
      <xdr:col>32</xdr:col>
      <xdr:colOff>318198</xdr:colOff>
      <xdr:row>13</xdr:row>
      <xdr:rowOff>0</xdr:rowOff>
    </xdr:to>
    <xdr:cxnSp macro="">
      <xdr:nvCxnSpPr>
        <xdr:cNvPr id="7" name="Conector de Seta Reta 6">
          <a:extLst>
            <a:ext uri="{FF2B5EF4-FFF2-40B4-BE49-F238E27FC236}">
              <a16:creationId xmlns:a16="http://schemas.microsoft.com/office/drawing/2014/main" id="{0EBE6536-730D-47B8-B325-5C6F0079F519}"/>
            </a:ext>
          </a:extLst>
        </xdr:cNvPr>
        <xdr:cNvCxnSpPr/>
      </xdr:nvCxnSpPr>
      <xdr:spPr>
        <a:xfrm>
          <a:off x="20266893" y="3018506"/>
          <a:ext cx="650426" cy="43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19465</xdr:colOff>
      <xdr:row>7</xdr:row>
      <xdr:rowOff>246836</xdr:rowOff>
    </xdr:from>
    <xdr:to>
      <xdr:col>31</xdr:col>
      <xdr:colOff>301450</xdr:colOff>
      <xdr:row>8</xdr:row>
      <xdr:rowOff>8374</xdr:rowOff>
    </xdr:to>
    <xdr:cxnSp macro="">
      <xdr:nvCxnSpPr>
        <xdr:cNvPr id="10" name="Conector de Seta Reta 9">
          <a:extLst>
            <a:ext uri="{FF2B5EF4-FFF2-40B4-BE49-F238E27FC236}">
              <a16:creationId xmlns:a16="http://schemas.microsoft.com/office/drawing/2014/main" id="{5D312C72-1936-412A-9F23-5FA368DECAE0}"/>
            </a:ext>
          </a:extLst>
        </xdr:cNvPr>
        <xdr:cNvCxnSpPr/>
      </xdr:nvCxnSpPr>
      <xdr:spPr>
        <a:xfrm>
          <a:off x="19948696" y="1762462"/>
          <a:ext cx="616930" cy="1274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2717</xdr:colOff>
      <xdr:row>7</xdr:row>
      <xdr:rowOff>246836</xdr:rowOff>
    </xdr:from>
    <xdr:to>
      <xdr:col>36</xdr:col>
      <xdr:colOff>16747</xdr:colOff>
      <xdr:row>8</xdr:row>
      <xdr:rowOff>25121</xdr:rowOff>
    </xdr:to>
    <xdr:cxnSp macro="">
      <xdr:nvCxnSpPr>
        <xdr:cNvPr id="11" name="Conector de Seta Reta 10">
          <a:extLst>
            <a:ext uri="{FF2B5EF4-FFF2-40B4-BE49-F238E27FC236}">
              <a16:creationId xmlns:a16="http://schemas.microsoft.com/office/drawing/2014/main" id="{A7DFD2A4-720F-4C74-B34D-FCEFB5382AFD}"/>
            </a:ext>
          </a:extLst>
        </xdr:cNvPr>
        <xdr:cNvCxnSpPr/>
      </xdr:nvCxnSpPr>
      <xdr:spPr>
        <a:xfrm>
          <a:off x="21271728" y="1762462"/>
          <a:ext cx="683920" cy="294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2717</xdr:colOff>
      <xdr:row>7</xdr:row>
      <xdr:rowOff>246836</xdr:rowOff>
    </xdr:from>
    <xdr:to>
      <xdr:col>40</xdr:col>
      <xdr:colOff>577781</xdr:colOff>
      <xdr:row>8</xdr:row>
      <xdr:rowOff>0</xdr:rowOff>
    </xdr:to>
    <xdr:cxnSp macro="">
      <xdr:nvCxnSpPr>
        <xdr:cNvPr id="12" name="Conector de Seta Reta 11">
          <a:extLst>
            <a:ext uri="{FF2B5EF4-FFF2-40B4-BE49-F238E27FC236}">
              <a16:creationId xmlns:a16="http://schemas.microsoft.com/office/drawing/2014/main" id="{C2510F5A-4CB3-4D26-B891-E262E92343A7}"/>
            </a:ext>
          </a:extLst>
        </xdr:cNvPr>
        <xdr:cNvCxnSpPr/>
      </xdr:nvCxnSpPr>
      <xdr:spPr>
        <a:xfrm>
          <a:off x="22611508" y="1762462"/>
          <a:ext cx="1244954" cy="43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8194</xdr:colOff>
      <xdr:row>15</xdr:row>
      <xdr:rowOff>73742</xdr:rowOff>
    </xdr:from>
    <xdr:to>
      <xdr:col>28</xdr:col>
      <xdr:colOff>301450</xdr:colOff>
      <xdr:row>22</xdr:row>
      <xdr:rowOff>192594</xdr:rowOff>
    </xdr:to>
    <xdr:cxnSp macro="">
      <xdr:nvCxnSpPr>
        <xdr:cNvPr id="15" name="Conector de Seta Reta 14">
          <a:extLst>
            <a:ext uri="{FF2B5EF4-FFF2-40B4-BE49-F238E27FC236}">
              <a16:creationId xmlns:a16="http://schemas.microsoft.com/office/drawing/2014/main" id="{E2005C0F-4586-4205-8FF2-7DA9542CB94E}"/>
            </a:ext>
          </a:extLst>
        </xdr:cNvPr>
        <xdr:cNvCxnSpPr/>
      </xdr:nvCxnSpPr>
      <xdr:spPr>
        <a:xfrm>
          <a:off x="18597645" y="3599039"/>
          <a:ext cx="963146" cy="1877313"/>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1638</xdr:colOff>
      <xdr:row>14</xdr:row>
      <xdr:rowOff>67189</xdr:rowOff>
    </xdr:from>
    <xdr:to>
      <xdr:col>28</xdr:col>
      <xdr:colOff>293077</xdr:colOff>
      <xdr:row>18</xdr:row>
      <xdr:rowOff>0</xdr:rowOff>
    </xdr:to>
    <xdr:cxnSp macro="">
      <xdr:nvCxnSpPr>
        <xdr:cNvPr id="31" name="Conector de Seta Reta 30">
          <a:extLst>
            <a:ext uri="{FF2B5EF4-FFF2-40B4-BE49-F238E27FC236}">
              <a16:creationId xmlns:a16="http://schemas.microsoft.com/office/drawing/2014/main" id="{514F24D6-7710-4272-852C-A7F7BA97590F}"/>
            </a:ext>
          </a:extLst>
        </xdr:cNvPr>
        <xdr:cNvCxnSpPr/>
      </xdr:nvCxnSpPr>
      <xdr:spPr>
        <a:xfrm>
          <a:off x="18591089" y="3341277"/>
          <a:ext cx="961329" cy="937646"/>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333589</xdr:colOff>
      <xdr:row>18</xdr:row>
      <xdr:rowOff>58615</xdr:rowOff>
    </xdr:from>
    <xdr:to>
      <xdr:col>28</xdr:col>
      <xdr:colOff>293077</xdr:colOff>
      <xdr:row>20</xdr:row>
      <xdr:rowOff>40059</xdr:rowOff>
    </xdr:to>
    <xdr:cxnSp macro="">
      <xdr:nvCxnSpPr>
        <xdr:cNvPr id="35" name="Conector de Seta Reta 34">
          <a:extLst>
            <a:ext uri="{FF2B5EF4-FFF2-40B4-BE49-F238E27FC236}">
              <a16:creationId xmlns:a16="http://schemas.microsoft.com/office/drawing/2014/main" id="{56F9BFE3-9D7C-42F1-BCBF-7DE8B30182CA}"/>
            </a:ext>
          </a:extLst>
        </xdr:cNvPr>
        <xdr:cNvCxnSpPr/>
      </xdr:nvCxnSpPr>
      <xdr:spPr>
        <a:xfrm flipV="1">
          <a:off x="18588094" y="4337538"/>
          <a:ext cx="964324" cy="483862"/>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10764</xdr:colOff>
      <xdr:row>21</xdr:row>
      <xdr:rowOff>4008</xdr:rowOff>
    </xdr:from>
    <xdr:to>
      <xdr:col>28</xdr:col>
      <xdr:colOff>293077</xdr:colOff>
      <xdr:row>23</xdr:row>
      <xdr:rowOff>16747</xdr:rowOff>
    </xdr:to>
    <xdr:cxnSp macro="">
      <xdr:nvCxnSpPr>
        <xdr:cNvPr id="37" name="Conector de Seta Reta 36">
          <a:extLst>
            <a:ext uri="{FF2B5EF4-FFF2-40B4-BE49-F238E27FC236}">
              <a16:creationId xmlns:a16="http://schemas.microsoft.com/office/drawing/2014/main" id="{2A35A3CD-3B3B-4110-9393-6B7EC8811615}"/>
            </a:ext>
          </a:extLst>
        </xdr:cNvPr>
        <xdr:cNvCxnSpPr/>
      </xdr:nvCxnSpPr>
      <xdr:spPr>
        <a:xfrm>
          <a:off x="18600215" y="5036557"/>
          <a:ext cx="952203" cy="515157"/>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20502</xdr:colOff>
      <xdr:row>8</xdr:row>
      <xdr:rowOff>31301</xdr:rowOff>
    </xdr:from>
    <xdr:to>
      <xdr:col>27</xdr:col>
      <xdr:colOff>326571</xdr:colOff>
      <xdr:row>8</xdr:row>
      <xdr:rowOff>58616</xdr:rowOff>
    </xdr:to>
    <xdr:cxnSp macro="">
      <xdr:nvCxnSpPr>
        <xdr:cNvPr id="47" name="Conector de Seta Reta 46">
          <a:extLst>
            <a:ext uri="{FF2B5EF4-FFF2-40B4-BE49-F238E27FC236}">
              <a16:creationId xmlns:a16="http://schemas.microsoft.com/office/drawing/2014/main" id="{DB3852D6-6BC7-4082-803A-745A780B8EBA}"/>
            </a:ext>
          </a:extLst>
        </xdr:cNvPr>
        <xdr:cNvCxnSpPr/>
      </xdr:nvCxnSpPr>
      <xdr:spPr>
        <a:xfrm>
          <a:off x="18609953" y="1798136"/>
          <a:ext cx="641014" cy="273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2717</xdr:colOff>
      <xdr:row>12</xdr:row>
      <xdr:rowOff>246836</xdr:rowOff>
    </xdr:from>
    <xdr:to>
      <xdr:col>37</xdr:col>
      <xdr:colOff>0</xdr:colOff>
      <xdr:row>13</xdr:row>
      <xdr:rowOff>8374</xdr:rowOff>
    </xdr:to>
    <xdr:cxnSp macro="">
      <xdr:nvCxnSpPr>
        <xdr:cNvPr id="51" name="Conector de Seta Reta 50">
          <a:extLst>
            <a:ext uri="{FF2B5EF4-FFF2-40B4-BE49-F238E27FC236}">
              <a16:creationId xmlns:a16="http://schemas.microsoft.com/office/drawing/2014/main" id="{B1396465-1F4C-4A22-9620-CB98E256FC9A}"/>
            </a:ext>
          </a:extLst>
        </xdr:cNvPr>
        <xdr:cNvCxnSpPr/>
      </xdr:nvCxnSpPr>
      <xdr:spPr>
        <a:xfrm>
          <a:off x="21606673" y="3018506"/>
          <a:ext cx="667173" cy="1274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2717</xdr:colOff>
      <xdr:row>8</xdr:row>
      <xdr:rowOff>66989</xdr:rowOff>
    </xdr:from>
    <xdr:to>
      <xdr:col>40</xdr:col>
      <xdr:colOff>577781</xdr:colOff>
      <xdr:row>12</xdr:row>
      <xdr:rowOff>246836</xdr:rowOff>
    </xdr:to>
    <xdr:cxnSp macro="">
      <xdr:nvCxnSpPr>
        <xdr:cNvPr id="52" name="Conector de Seta Reta 51">
          <a:extLst>
            <a:ext uri="{FF2B5EF4-FFF2-40B4-BE49-F238E27FC236}">
              <a16:creationId xmlns:a16="http://schemas.microsoft.com/office/drawing/2014/main" id="{4AAE6855-F1AF-4C21-9948-BCEE7DF12365}"/>
            </a:ext>
          </a:extLst>
        </xdr:cNvPr>
        <xdr:cNvCxnSpPr/>
      </xdr:nvCxnSpPr>
      <xdr:spPr>
        <a:xfrm flipV="1">
          <a:off x="22946453" y="1833824"/>
          <a:ext cx="910009" cy="11846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4773</xdr:colOff>
      <xdr:row>13</xdr:row>
      <xdr:rowOff>33495</xdr:rowOff>
    </xdr:from>
    <xdr:to>
      <xdr:col>32</xdr:col>
      <xdr:colOff>293077</xdr:colOff>
      <xdr:row>18</xdr:row>
      <xdr:rowOff>1782</xdr:rowOff>
    </xdr:to>
    <xdr:cxnSp macro="">
      <xdr:nvCxnSpPr>
        <xdr:cNvPr id="55" name="Conector de Seta Reta 54">
          <a:extLst>
            <a:ext uri="{FF2B5EF4-FFF2-40B4-BE49-F238E27FC236}">
              <a16:creationId xmlns:a16="http://schemas.microsoft.com/office/drawing/2014/main" id="{9447A7BE-39B9-4534-AE86-125E291A35A7}"/>
            </a:ext>
          </a:extLst>
        </xdr:cNvPr>
        <xdr:cNvCxnSpPr/>
      </xdr:nvCxnSpPr>
      <xdr:spPr>
        <a:xfrm flipV="1">
          <a:off x="20268949" y="3056374"/>
          <a:ext cx="623249" cy="1224331"/>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589030</xdr:colOff>
      <xdr:row>9</xdr:row>
      <xdr:rowOff>4675</xdr:rowOff>
    </xdr:from>
    <xdr:to>
      <xdr:col>44</xdr:col>
      <xdr:colOff>0</xdr:colOff>
      <xdr:row>9</xdr:row>
      <xdr:rowOff>9181</xdr:rowOff>
    </xdr:to>
    <xdr:cxnSp macro="">
      <xdr:nvCxnSpPr>
        <xdr:cNvPr id="59" name="Conector de Seta Reta 58">
          <a:extLst>
            <a:ext uri="{FF2B5EF4-FFF2-40B4-BE49-F238E27FC236}">
              <a16:creationId xmlns:a16="http://schemas.microsoft.com/office/drawing/2014/main" id="{AF50B4D4-34B3-4ACF-A4DD-4E517A2E94FD}"/>
            </a:ext>
          </a:extLst>
        </xdr:cNvPr>
        <xdr:cNvCxnSpPr/>
      </xdr:nvCxnSpPr>
      <xdr:spPr>
        <a:xfrm>
          <a:off x="25047828" y="2014859"/>
          <a:ext cx="626430" cy="45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14024</xdr:colOff>
      <xdr:row>9</xdr:row>
      <xdr:rowOff>9181</xdr:rowOff>
    </xdr:from>
    <xdr:to>
      <xdr:col>47</xdr:col>
      <xdr:colOff>0</xdr:colOff>
      <xdr:row>9</xdr:row>
      <xdr:rowOff>9350</xdr:rowOff>
    </xdr:to>
    <xdr:cxnSp macro="">
      <xdr:nvCxnSpPr>
        <xdr:cNvPr id="62" name="Conector de Seta Reta 61">
          <a:extLst>
            <a:ext uri="{FF2B5EF4-FFF2-40B4-BE49-F238E27FC236}">
              <a16:creationId xmlns:a16="http://schemas.microsoft.com/office/drawing/2014/main" id="{BAC6E787-ECB9-465A-94BF-0B7712F693B4}"/>
            </a:ext>
          </a:extLst>
        </xdr:cNvPr>
        <xdr:cNvCxnSpPr/>
      </xdr:nvCxnSpPr>
      <xdr:spPr>
        <a:xfrm flipV="1">
          <a:off x="26903742" y="2019365"/>
          <a:ext cx="593706" cy="1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603055</xdr:colOff>
      <xdr:row>9</xdr:row>
      <xdr:rowOff>0</xdr:rowOff>
    </xdr:from>
    <xdr:to>
      <xdr:col>50</xdr:col>
      <xdr:colOff>0</xdr:colOff>
      <xdr:row>9</xdr:row>
      <xdr:rowOff>9181</xdr:rowOff>
    </xdr:to>
    <xdr:cxnSp macro="">
      <xdr:nvCxnSpPr>
        <xdr:cNvPr id="63" name="Conector de Seta Reta 62">
          <a:extLst>
            <a:ext uri="{FF2B5EF4-FFF2-40B4-BE49-F238E27FC236}">
              <a16:creationId xmlns:a16="http://schemas.microsoft.com/office/drawing/2014/main" id="{C934A939-54EA-4B3B-B290-8489F2FFD0B6}"/>
            </a:ext>
          </a:extLst>
        </xdr:cNvPr>
        <xdr:cNvCxnSpPr/>
      </xdr:nvCxnSpPr>
      <xdr:spPr>
        <a:xfrm>
          <a:off x="28708233" y="2010184"/>
          <a:ext cx="612405" cy="91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603055</xdr:colOff>
      <xdr:row>9</xdr:row>
      <xdr:rowOff>0</xdr:rowOff>
    </xdr:from>
    <xdr:to>
      <xdr:col>53</xdr:col>
      <xdr:colOff>0</xdr:colOff>
      <xdr:row>9</xdr:row>
      <xdr:rowOff>9181</xdr:rowOff>
    </xdr:to>
    <xdr:cxnSp macro="">
      <xdr:nvCxnSpPr>
        <xdr:cNvPr id="67" name="Conector de Seta Reta 66">
          <a:extLst>
            <a:ext uri="{FF2B5EF4-FFF2-40B4-BE49-F238E27FC236}">
              <a16:creationId xmlns:a16="http://schemas.microsoft.com/office/drawing/2014/main" id="{76EF2254-A41C-4381-BC89-3BB1700F15B4}"/>
            </a:ext>
          </a:extLst>
        </xdr:cNvPr>
        <xdr:cNvCxnSpPr/>
      </xdr:nvCxnSpPr>
      <xdr:spPr>
        <a:xfrm>
          <a:off x="28708233" y="2010184"/>
          <a:ext cx="612405" cy="91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603055</xdr:colOff>
      <xdr:row>9</xdr:row>
      <xdr:rowOff>0</xdr:rowOff>
    </xdr:from>
    <xdr:to>
      <xdr:col>56</xdr:col>
      <xdr:colOff>0</xdr:colOff>
      <xdr:row>9</xdr:row>
      <xdr:rowOff>9181</xdr:rowOff>
    </xdr:to>
    <xdr:cxnSp macro="">
      <xdr:nvCxnSpPr>
        <xdr:cNvPr id="68" name="Conector de Seta Reta 67">
          <a:extLst>
            <a:ext uri="{FF2B5EF4-FFF2-40B4-BE49-F238E27FC236}">
              <a16:creationId xmlns:a16="http://schemas.microsoft.com/office/drawing/2014/main" id="{AADC4189-75CD-43B2-BC61-CD0296E20B5F}"/>
            </a:ext>
          </a:extLst>
        </xdr:cNvPr>
        <xdr:cNvCxnSpPr/>
      </xdr:nvCxnSpPr>
      <xdr:spPr>
        <a:xfrm>
          <a:off x="30531423" y="2010184"/>
          <a:ext cx="612405" cy="91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603055</xdr:colOff>
      <xdr:row>9</xdr:row>
      <xdr:rowOff>0</xdr:rowOff>
    </xdr:from>
    <xdr:to>
      <xdr:col>59</xdr:col>
      <xdr:colOff>0</xdr:colOff>
      <xdr:row>9</xdr:row>
      <xdr:rowOff>9181</xdr:rowOff>
    </xdr:to>
    <xdr:cxnSp macro="">
      <xdr:nvCxnSpPr>
        <xdr:cNvPr id="69" name="Conector de Seta Reta 68">
          <a:extLst>
            <a:ext uri="{FF2B5EF4-FFF2-40B4-BE49-F238E27FC236}">
              <a16:creationId xmlns:a16="http://schemas.microsoft.com/office/drawing/2014/main" id="{70E83FF0-D881-448B-B65C-AD3E38DF65C3}"/>
            </a:ext>
          </a:extLst>
        </xdr:cNvPr>
        <xdr:cNvCxnSpPr/>
      </xdr:nvCxnSpPr>
      <xdr:spPr>
        <a:xfrm>
          <a:off x="32334912" y="2013857"/>
          <a:ext cx="612517" cy="91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603055</xdr:colOff>
      <xdr:row>9</xdr:row>
      <xdr:rowOff>0</xdr:rowOff>
    </xdr:from>
    <xdr:to>
      <xdr:col>62</xdr:col>
      <xdr:colOff>0</xdr:colOff>
      <xdr:row>9</xdr:row>
      <xdr:rowOff>9181</xdr:rowOff>
    </xdr:to>
    <xdr:cxnSp macro="">
      <xdr:nvCxnSpPr>
        <xdr:cNvPr id="70" name="Conector de Seta Reta 69">
          <a:extLst>
            <a:ext uri="{FF2B5EF4-FFF2-40B4-BE49-F238E27FC236}">
              <a16:creationId xmlns:a16="http://schemas.microsoft.com/office/drawing/2014/main" id="{711E36AB-358D-476D-AAF8-86A8FCB92C5C}"/>
            </a:ext>
          </a:extLst>
        </xdr:cNvPr>
        <xdr:cNvCxnSpPr/>
      </xdr:nvCxnSpPr>
      <xdr:spPr>
        <a:xfrm>
          <a:off x="34263577" y="2007704"/>
          <a:ext cx="616145" cy="91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603055</xdr:colOff>
      <xdr:row>9</xdr:row>
      <xdr:rowOff>0</xdr:rowOff>
    </xdr:from>
    <xdr:to>
      <xdr:col>65</xdr:col>
      <xdr:colOff>0</xdr:colOff>
      <xdr:row>9</xdr:row>
      <xdr:rowOff>9181</xdr:rowOff>
    </xdr:to>
    <xdr:cxnSp macro="">
      <xdr:nvCxnSpPr>
        <xdr:cNvPr id="71" name="Conector de Seta Reta 70">
          <a:extLst>
            <a:ext uri="{FF2B5EF4-FFF2-40B4-BE49-F238E27FC236}">
              <a16:creationId xmlns:a16="http://schemas.microsoft.com/office/drawing/2014/main" id="{E365654E-91F3-4A83-B984-7228DAB5DBF0}"/>
            </a:ext>
          </a:extLst>
        </xdr:cNvPr>
        <xdr:cNvCxnSpPr/>
      </xdr:nvCxnSpPr>
      <xdr:spPr>
        <a:xfrm>
          <a:off x="36092377" y="2007704"/>
          <a:ext cx="616145" cy="91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229201</xdr:colOff>
      <xdr:row>29</xdr:row>
      <xdr:rowOff>68993</xdr:rowOff>
    </xdr:to>
    <xdr:pic>
      <xdr:nvPicPr>
        <xdr:cNvPr id="2" name="Imagem 1">
          <a:extLst>
            <a:ext uri="{FF2B5EF4-FFF2-40B4-BE49-F238E27FC236}">
              <a16:creationId xmlns:a16="http://schemas.microsoft.com/office/drawing/2014/main" id="{A692FE13-DC01-46F5-A584-1DA4AF74A4E2}"/>
            </a:ext>
          </a:extLst>
        </xdr:cNvPr>
        <xdr:cNvPicPr>
          <a:picLocks noChangeAspect="1"/>
        </xdr:cNvPicPr>
      </xdr:nvPicPr>
      <xdr:blipFill>
        <a:blip xmlns:r="http://schemas.openxmlformats.org/officeDocument/2006/relationships" r:embed="rId1"/>
        <a:stretch>
          <a:fillRect/>
        </a:stretch>
      </xdr:blipFill>
      <xdr:spPr>
        <a:xfrm>
          <a:off x="0" y="167640"/>
          <a:ext cx="6934801" cy="4762913"/>
        </a:xfrm>
        <a:prstGeom prst="rect">
          <a:avLst/>
        </a:prstGeom>
      </xdr:spPr>
    </xdr:pic>
    <xdr:clientData/>
  </xdr:twoCellAnchor>
  <xdr:twoCellAnchor editAs="oneCell">
    <xdr:from>
      <xdr:col>0</xdr:col>
      <xdr:colOff>0</xdr:colOff>
      <xdr:row>32</xdr:row>
      <xdr:rowOff>0</xdr:rowOff>
    </xdr:from>
    <xdr:to>
      <xdr:col>11</xdr:col>
      <xdr:colOff>99650</xdr:colOff>
      <xdr:row>59</xdr:row>
      <xdr:rowOff>99461</xdr:rowOff>
    </xdr:to>
    <xdr:pic>
      <xdr:nvPicPr>
        <xdr:cNvPr id="3" name="Imagem 2">
          <a:extLst>
            <a:ext uri="{FF2B5EF4-FFF2-40B4-BE49-F238E27FC236}">
              <a16:creationId xmlns:a16="http://schemas.microsoft.com/office/drawing/2014/main" id="{B4CEEA1F-DE59-4826-A18F-97D9143EBEF2}"/>
            </a:ext>
          </a:extLst>
        </xdr:cNvPr>
        <xdr:cNvPicPr>
          <a:picLocks noChangeAspect="1"/>
        </xdr:cNvPicPr>
      </xdr:nvPicPr>
      <xdr:blipFill>
        <a:blip xmlns:r="http://schemas.openxmlformats.org/officeDocument/2006/relationships" r:embed="rId2"/>
        <a:stretch>
          <a:fillRect/>
        </a:stretch>
      </xdr:blipFill>
      <xdr:spPr>
        <a:xfrm>
          <a:off x="0" y="5364480"/>
          <a:ext cx="6805250" cy="4625741"/>
        </a:xfrm>
        <a:prstGeom prst="rect">
          <a:avLst/>
        </a:prstGeom>
      </xdr:spPr>
    </xdr:pic>
    <xdr:clientData/>
  </xdr:twoCellAnchor>
  <xdr:twoCellAnchor editAs="oneCell">
    <xdr:from>
      <xdr:col>0</xdr:col>
      <xdr:colOff>0</xdr:colOff>
      <xdr:row>60</xdr:row>
      <xdr:rowOff>0</xdr:rowOff>
    </xdr:from>
    <xdr:to>
      <xdr:col>11</xdr:col>
      <xdr:colOff>76788</xdr:colOff>
      <xdr:row>91</xdr:row>
      <xdr:rowOff>76657</xdr:rowOff>
    </xdr:to>
    <xdr:pic>
      <xdr:nvPicPr>
        <xdr:cNvPr id="4" name="Imagem 3">
          <a:extLst>
            <a:ext uri="{FF2B5EF4-FFF2-40B4-BE49-F238E27FC236}">
              <a16:creationId xmlns:a16="http://schemas.microsoft.com/office/drawing/2014/main" id="{5516C954-BB60-49DF-8C7E-F8BDEB2317DA}"/>
            </a:ext>
          </a:extLst>
        </xdr:cNvPr>
        <xdr:cNvPicPr>
          <a:picLocks noChangeAspect="1"/>
        </xdr:cNvPicPr>
      </xdr:nvPicPr>
      <xdr:blipFill>
        <a:blip xmlns:r="http://schemas.openxmlformats.org/officeDocument/2006/relationships" r:embed="rId3"/>
        <a:stretch>
          <a:fillRect/>
        </a:stretch>
      </xdr:blipFill>
      <xdr:spPr>
        <a:xfrm>
          <a:off x="0" y="10058400"/>
          <a:ext cx="6782388" cy="527349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0</xdr:colOff>
      <xdr:row>6</xdr:row>
      <xdr:rowOff>0</xdr:rowOff>
    </xdr:from>
    <xdr:ext cx="7856901" cy="4473328"/>
    <xdr:pic>
      <xdr:nvPicPr>
        <xdr:cNvPr id="2" name="Imagem 1">
          <a:extLst>
            <a:ext uri="{FF2B5EF4-FFF2-40B4-BE49-F238E27FC236}">
              <a16:creationId xmlns:a16="http://schemas.microsoft.com/office/drawing/2014/main" id="{9A2274E1-5A4B-429B-ABCE-C6AE54F262B4}"/>
            </a:ext>
          </a:extLst>
        </xdr:cNvPr>
        <xdr:cNvPicPr>
          <a:picLocks noChangeAspect="1"/>
        </xdr:cNvPicPr>
      </xdr:nvPicPr>
      <xdr:blipFill>
        <a:blip xmlns:r="http://schemas.openxmlformats.org/officeDocument/2006/relationships" r:embed="rId1"/>
        <a:stretch>
          <a:fillRect/>
        </a:stretch>
      </xdr:blipFill>
      <xdr:spPr>
        <a:xfrm>
          <a:off x="609600" y="1005840"/>
          <a:ext cx="7856901" cy="447332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xdr:col>
      <xdr:colOff>464820</xdr:colOff>
      <xdr:row>13</xdr:row>
      <xdr:rowOff>1409700</xdr:rowOff>
    </xdr:from>
    <xdr:to>
      <xdr:col>3</xdr:col>
      <xdr:colOff>335280</xdr:colOff>
      <xdr:row>13</xdr:row>
      <xdr:rowOff>1409700</xdr:rowOff>
    </xdr:to>
    <xdr:sp macro="" textlink="">
      <xdr:nvSpPr>
        <xdr:cNvPr id="2" name="Line 1">
          <a:extLst>
            <a:ext uri="{FF2B5EF4-FFF2-40B4-BE49-F238E27FC236}">
              <a16:creationId xmlns:a16="http://schemas.microsoft.com/office/drawing/2014/main" id="{D4AEEF1B-FB56-4964-8441-C372588CC55B}"/>
            </a:ext>
          </a:extLst>
        </xdr:cNvPr>
        <xdr:cNvSpPr>
          <a:spLocks noChangeShapeType="1"/>
        </xdr:cNvSpPr>
      </xdr:nvSpPr>
      <xdr:spPr bwMode="auto">
        <a:xfrm>
          <a:off x="525780" y="38785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464820</xdr:colOff>
      <xdr:row>13</xdr:row>
      <xdr:rowOff>7620</xdr:rowOff>
    </xdr:from>
    <xdr:to>
      <xdr:col>1</xdr:col>
      <xdr:colOff>297180</xdr:colOff>
      <xdr:row>13</xdr:row>
      <xdr:rowOff>1409700</xdr:rowOff>
    </xdr:to>
    <xdr:sp macro="" textlink="">
      <xdr:nvSpPr>
        <xdr:cNvPr id="3" name="Line 2">
          <a:extLst>
            <a:ext uri="{FF2B5EF4-FFF2-40B4-BE49-F238E27FC236}">
              <a16:creationId xmlns:a16="http://schemas.microsoft.com/office/drawing/2014/main" id="{C2736F9B-115E-4413-AEB5-971AF8AC787B}"/>
            </a:ext>
          </a:extLst>
        </xdr:cNvPr>
        <xdr:cNvSpPr>
          <a:spLocks noChangeShapeType="1"/>
        </xdr:cNvSpPr>
      </xdr:nvSpPr>
      <xdr:spPr bwMode="auto">
        <a:xfrm flipV="1">
          <a:off x="525780" y="2476500"/>
          <a:ext cx="0" cy="14020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arce\Downloads\WBS-PROJETO-SAUDE-BEM-ESTAR_template_RH.xlsx" TargetMode="External"/><Relationship Id="rId1" Type="http://schemas.openxmlformats.org/officeDocument/2006/relationships/externalLinkPath" Target="WBS-PROJETO-SAUDE-BEM-ESTAR_template_RH.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arce\Downloads\WBS-PROJETO-Fidelize-Gestao_custo.xlsx" TargetMode="External"/><Relationship Id="rId1" Type="http://schemas.openxmlformats.org/officeDocument/2006/relationships/externalLinkPath" Target="WBS-PROJETO-Fidelize-Gestao_cu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arya/Downloads/241023-WBS-PROJETO-NI(Recuperado%20Automaticamen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DeProjeto"/>
      <sheetName val="Sobre"/>
    </sheetNames>
    <sheetDataSet>
      <sheetData sheetId="0">
        <row r="8">
          <cell r="H8" t="str">
            <v/>
          </cell>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t="str">
            <v/>
          </cell>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t="str">
            <v/>
          </cell>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t="str">
            <v/>
          </cell>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t="str">
            <v/>
          </cell>
        </row>
        <row r="33">
          <cell r="H33" t="str">
            <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áfico de Gantt"/>
      <sheetName val="Planejamento de RH"/>
      <sheetName val="Mapa Competência - Equipe"/>
      <sheetName val="Mapa de Responsabilidade"/>
      <sheetName val="PV_dependência"/>
      <sheetName val="Cronograma_de_Custos (2)"/>
    </sheetNames>
    <sheetDataSet>
      <sheetData sheetId="0">
        <row r="5">
          <cell r="G5">
            <v>45160</v>
          </cell>
        </row>
        <row r="6">
          <cell r="G6">
            <v>1</v>
          </cell>
        </row>
      </sheetData>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áfico de Gantt"/>
      <sheetName val="Param"/>
      <sheetName val="PV_dependência"/>
      <sheetName val="Cronograma_de_Custos (2)"/>
    </sheetNames>
    <sheetDataSet>
      <sheetData sheetId="0">
        <row r="5">
          <cell r="G5">
            <v>45160</v>
          </cell>
        </row>
        <row r="6">
          <cell r="G6">
            <v>1</v>
          </cell>
        </row>
      </sheetData>
      <sheetData sheetId="1">
        <row r="4">
          <cell r="D4" t="str">
            <v>Foco nas funcionalidades principais de Campanhas, Clientes e Pedidos.</v>
          </cell>
        </row>
        <row r="17">
          <cell r="C17" t="str">
            <v>Fidelize</v>
          </cell>
        </row>
        <row r="18">
          <cell r="C18">
            <v>45870</v>
          </cell>
        </row>
        <row r="19">
          <cell r="C19" t="str">
            <v>Cannoli</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Charter"/>
      <sheetName val="WBS-MACRO-ATIVIDADE"/>
      <sheetName val="WBS_Detalhado (ordem etapas)"/>
      <sheetName val="WBS_Detalhado (ordem depend)"/>
      <sheetName val="Gráfico de Gantt"/>
      <sheetName val="SAM SRM"/>
      <sheetName val="Comunicação"/>
      <sheetName val="PV_dependência"/>
      <sheetName val="Cronograma_de_Custos (2)"/>
    </sheetNames>
    <sheetDataSet>
      <sheetData sheetId="0" refreshError="1"/>
      <sheetData sheetId="1" refreshError="1"/>
      <sheetData sheetId="2" refreshError="1"/>
      <sheetData sheetId="3" refreshError="1"/>
      <sheetData sheetId="4">
        <row r="5">
          <cell r="G5">
            <v>45160</v>
          </cell>
        </row>
        <row r="6">
          <cell r="G6">
            <v>1</v>
          </cell>
        </row>
      </sheetData>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K60" sheet="WBS_Detalhado (ordem etapas)"/>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0"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showGridLines="0" topLeftCell="C2" zoomScale="66" zoomScaleNormal="66" workbookViewId="0">
      <selection activeCell="U4" sqref="U4"/>
    </sheetView>
  </sheetViews>
  <sheetFormatPr defaultRowHeight="13.2" x14ac:dyDescent="0.25"/>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78"/>
  <sheetViews>
    <sheetView showGridLines="0" topLeftCell="B1" zoomScale="93" zoomScaleNormal="93" workbookViewId="0">
      <selection activeCell="AA22" sqref="AA22"/>
    </sheetView>
  </sheetViews>
  <sheetFormatPr defaultRowHeight="13.2" x14ac:dyDescent="0.25"/>
  <cols>
    <col min="1" max="1" width="3" customWidth="1"/>
    <col min="2" max="2" width="14.6640625" customWidth="1"/>
  </cols>
  <sheetData>
    <row r="1" spans="1:24" ht="16.8" x14ac:dyDescent="0.3">
      <c r="B1" s="4"/>
      <c r="Q1" s="23"/>
    </row>
    <row r="2" spans="1:24" ht="16.8" x14ac:dyDescent="0.3">
      <c r="B2" s="4"/>
      <c r="Q2" s="23"/>
    </row>
    <row r="3" spans="1:24" ht="26.25" customHeight="1" x14ac:dyDescent="0.4">
      <c r="A3" s="603"/>
      <c r="B3" s="603"/>
      <c r="C3" s="26"/>
      <c r="D3" s="26"/>
      <c r="E3" s="26"/>
      <c r="F3" s="26"/>
      <c r="G3" s="26"/>
      <c r="H3" s="26"/>
      <c r="I3" s="26"/>
      <c r="J3" s="26"/>
      <c r="K3" s="26"/>
      <c r="L3" s="26"/>
      <c r="M3" s="26"/>
      <c r="N3" s="26"/>
      <c r="O3" s="26"/>
      <c r="P3" s="26"/>
      <c r="Q3" s="26"/>
      <c r="R3" s="26"/>
      <c r="S3" s="26"/>
      <c r="T3" s="26"/>
      <c r="U3" s="26"/>
    </row>
    <row r="4" spans="1:24" ht="26.25" customHeight="1" x14ac:dyDescent="0.4">
      <c r="A4" s="24"/>
      <c r="B4" s="24"/>
      <c r="C4" s="25"/>
      <c r="D4" s="25"/>
      <c r="E4" s="25"/>
      <c r="F4" s="25"/>
      <c r="G4" s="25"/>
      <c r="H4" s="25"/>
      <c r="I4" s="25"/>
      <c r="J4" s="25"/>
      <c r="K4" s="25"/>
      <c r="L4" s="25"/>
      <c r="M4" s="25"/>
      <c r="N4" s="25"/>
      <c r="O4" s="25"/>
      <c r="P4" s="25"/>
      <c r="Q4" s="25"/>
      <c r="R4" s="25"/>
      <c r="S4" s="25"/>
      <c r="T4" s="25"/>
      <c r="U4" s="25"/>
    </row>
    <row r="16" spans="1:24" ht="15" x14ac:dyDescent="0.25">
      <c r="B16" s="23"/>
      <c r="C16" s="23"/>
      <c r="D16" s="23"/>
      <c r="E16" s="23"/>
      <c r="F16" s="23"/>
      <c r="G16" s="23"/>
      <c r="H16" s="23"/>
      <c r="I16" s="23"/>
      <c r="J16" s="23"/>
      <c r="K16" s="23"/>
      <c r="L16" s="23"/>
      <c r="M16" s="23"/>
      <c r="N16" s="23"/>
      <c r="O16" s="23"/>
      <c r="P16" s="23"/>
      <c r="Q16" s="23"/>
      <c r="R16" s="23"/>
      <c r="S16" s="23"/>
      <c r="T16" s="23"/>
      <c r="U16" s="23"/>
      <c r="V16" s="23"/>
      <c r="W16" s="23"/>
      <c r="X16" s="23"/>
    </row>
    <row r="17" spans="2:25" ht="15" x14ac:dyDescent="0.25">
      <c r="B17" s="23"/>
      <c r="C17" s="23"/>
      <c r="D17" s="23"/>
      <c r="E17" s="23"/>
      <c r="F17" s="23"/>
      <c r="G17" s="23"/>
      <c r="H17" s="23"/>
      <c r="I17" s="23"/>
      <c r="J17" s="23"/>
      <c r="K17" s="23"/>
      <c r="L17" s="23"/>
      <c r="M17" s="23"/>
      <c r="N17" s="23"/>
      <c r="O17" s="23"/>
      <c r="P17" s="23"/>
      <c r="Q17" s="23"/>
      <c r="R17" s="23"/>
      <c r="S17" s="23"/>
      <c r="T17" s="23"/>
      <c r="U17" s="23"/>
      <c r="V17" s="23"/>
      <c r="W17" s="23"/>
      <c r="X17" s="23"/>
      <c r="Y17" s="27"/>
    </row>
    <row r="18" spans="2:25" ht="15" x14ac:dyDescent="0.25">
      <c r="B18" s="23"/>
      <c r="C18" s="23"/>
      <c r="D18" s="23"/>
      <c r="E18" s="23"/>
      <c r="F18" s="23"/>
      <c r="G18" s="23"/>
      <c r="H18" s="23"/>
      <c r="I18" s="23"/>
      <c r="J18" s="23"/>
      <c r="K18" s="23"/>
      <c r="L18" s="23"/>
      <c r="M18" s="23"/>
      <c r="N18" s="23"/>
      <c r="O18" s="23"/>
      <c r="P18" s="23"/>
      <c r="Q18" s="23"/>
      <c r="R18" s="23"/>
      <c r="S18" s="23"/>
      <c r="T18" s="23"/>
      <c r="U18" s="23"/>
      <c r="V18" s="23"/>
      <c r="W18" s="23"/>
      <c r="X18" s="23"/>
      <c r="Y18" s="27"/>
    </row>
    <row r="19" spans="2:25" ht="15" x14ac:dyDescent="0.25">
      <c r="B19" s="23"/>
      <c r="C19" s="23"/>
      <c r="D19" s="23"/>
      <c r="E19" s="23"/>
      <c r="F19" s="23"/>
      <c r="G19" s="23"/>
      <c r="H19" s="23"/>
      <c r="I19" s="23"/>
      <c r="J19" s="23"/>
      <c r="K19" s="23"/>
      <c r="L19" s="23"/>
      <c r="M19" s="23"/>
      <c r="N19" s="23"/>
      <c r="O19" s="23"/>
      <c r="P19" s="23"/>
      <c r="Q19" s="23"/>
      <c r="R19" s="23"/>
      <c r="S19" s="23"/>
      <c r="T19" s="23"/>
      <c r="U19" s="23"/>
      <c r="V19" s="23"/>
      <c r="W19" s="23"/>
      <c r="X19" s="23"/>
      <c r="Y19" s="27"/>
    </row>
    <row r="20" spans="2:25" ht="15" x14ac:dyDescent="0.25">
      <c r="B20" s="23"/>
      <c r="C20" s="23"/>
      <c r="D20" s="23"/>
      <c r="E20" s="23"/>
      <c r="F20" s="23"/>
      <c r="G20" s="23"/>
      <c r="H20" s="23"/>
      <c r="I20" s="23"/>
      <c r="J20" s="23"/>
      <c r="K20" s="23"/>
      <c r="L20" s="23"/>
      <c r="M20" s="23"/>
      <c r="N20" s="23"/>
      <c r="O20" s="23"/>
      <c r="P20" s="23"/>
      <c r="Q20" s="23"/>
      <c r="R20" s="23"/>
      <c r="S20" s="23"/>
      <c r="T20" s="23"/>
      <c r="U20" s="23"/>
      <c r="V20" s="23"/>
      <c r="W20" s="23"/>
      <c r="X20" s="23"/>
      <c r="Y20" s="27"/>
    </row>
    <row r="21" spans="2:25" ht="15" x14ac:dyDescent="0.25">
      <c r="B21" s="23"/>
      <c r="C21" s="23"/>
      <c r="D21" s="23"/>
      <c r="E21" s="23"/>
      <c r="F21" s="23"/>
      <c r="G21" s="23"/>
      <c r="H21" s="23"/>
      <c r="I21" s="23"/>
      <c r="J21" s="23"/>
      <c r="K21" s="23"/>
      <c r="L21" s="23"/>
      <c r="M21" s="23"/>
      <c r="N21" s="23"/>
      <c r="O21" s="23"/>
      <c r="P21" s="23"/>
      <c r="Q21" s="23"/>
      <c r="R21" s="23"/>
      <c r="S21" s="23"/>
      <c r="T21" s="23"/>
      <c r="U21" s="23"/>
      <c r="V21" s="23"/>
      <c r="W21" s="23"/>
      <c r="X21" s="23"/>
      <c r="Y21" s="27"/>
    </row>
    <row r="22" spans="2:25" ht="15" x14ac:dyDescent="0.25">
      <c r="B22" s="23"/>
      <c r="C22" s="23"/>
      <c r="D22" s="23"/>
      <c r="E22" s="23"/>
      <c r="F22" s="23"/>
      <c r="G22" s="23"/>
      <c r="H22" s="23"/>
      <c r="I22" s="23"/>
      <c r="J22" s="23"/>
      <c r="K22" s="23"/>
      <c r="L22" s="23"/>
      <c r="M22" s="23"/>
      <c r="N22" s="23"/>
      <c r="O22" s="23"/>
      <c r="P22" s="23"/>
      <c r="Q22" s="23"/>
      <c r="R22" s="23"/>
      <c r="S22" s="23"/>
      <c r="T22" s="23"/>
      <c r="U22" s="23"/>
      <c r="V22" s="23"/>
      <c r="W22" s="23"/>
      <c r="X22" s="23"/>
      <c r="Y22" s="27"/>
    </row>
    <row r="23" spans="2:25" ht="15" x14ac:dyDescent="0.25">
      <c r="B23" s="23"/>
      <c r="C23" s="23"/>
      <c r="D23" s="23"/>
      <c r="E23" s="23"/>
      <c r="F23" s="23"/>
      <c r="G23" s="23"/>
      <c r="H23" s="23"/>
      <c r="I23" s="23"/>
      <c r="J23" s="23"/>
      <c r="K23" s="23"/>
      <c r="L23" s="23"/>
      <c r="M23" s="23"/>
      <c r="N23" s="23"/>
      <c r="O23" s="23"/>
      <c r="P23" s="23"/>
      <c r="Q23" s="23"/>
      <c r="R23" s="23"/>
      <c r="S23" s="23"/>
      <c r="T23" s="23"/>
      <c r="U23" s="23"/>
      <c r="V23" s="23"/>
      <c r="W23" s="23"/>
      <c r="X23" s="23"/>
      <c r="Y23" s="27"/>
    </row>
    <row r="24" spans="2:25" ht="15" x14ac:dyDescent="0.25">
      <c r="B24" s="23"/>
      <c r="C24" s="23"/>
      <c r="D24" s="23"/>
      <c r="E24" s="23"/>
      <c r="F24" s="23"/>
      <c r="G24" s="23"/>
      <c r="H24" s="23"/>
      <c r="I24" s="23"/>
      <c r="J24" s="23"/>
      <c r="K24" s="23"/>
      <c r="L24" s="23"/>
      <c r="M24" s="23"/>
      <c r="N24" s="23"/>
      <c r="O24" s="23"/>
      <c r="P24" s="23"/>
      <c r="Q24" s="23"/>
      <c r="R24" s="23"/>
      <c r="S24" s="23"/>
      <c r="T24" s="23"/>
      <c r="U24" s="23"/>
      <c r="V24" s="23"/>
      <c r="W24" s="23"/>
      <c r="X24" s="23"/>
      <c r="Y24" s="27"/>
    </row>
    <row r="25" spans="2:25" ht="15" x14ac:dyDescent="0.25">
      <c r="B25" s="23"/>
      <c r="C25" s="23"/>
      <c r="D25" s="23"/>
      <c r="E25" s="23"/>
      <c r="F25" s="23"/>
      <c r="G25" s="23"/>
      <c r="H25" s="23"/>
      <c r="I25" s="23"/>
      <c r="J25" s="23"/>
      <c r="K25" s="23"/>
      <c r="L25" s="23"/>
      <c r="M25" s="23"/>
      <c r="N25" s="23"/>
      <c r="O25" s="23"/>
      <c r="P25" s="23"/>
      <c r="Q25" s="23"/>
      <c r="R25" s="23"/>
      <c r="S25" s="23"/>
      <c r="T25" s="23"/>
      <c r="U25" s="23"/>
      <c r="V25" s="23"/>
      <c r="W25" s="23"/>
      <c r="X25" s="23"/>
      <c r="Y25" s="27"/>
    </row>
    <row r="26" spans="2:25" ht="15" x14ac:dyDescent="0.25">
      <c r="B26" s="23"/>
      <c r="C26" s="23"/>
      <c r="D26" s="23"/>
      <c r="E26" s="23"/>
      <c r="F26" s="23"/>
      <c r="G26" s="23"/>
      <c r="H26" s="23"/>
      <c r="I26" s="23"/>
      <c r="J26" s="23"/>
      <c r="K26" s="23"/>
      <c r="L26" s="23"/>
      <c r="M26" s="23"/>
      <c r="N26" s="23"/>
      <c r="O26" s="23"/>
      <c r="P26" s="23"/>
      <c r="Q26" s="23"/>
      <c r="R26" s="23"/>
      <c r="S26" s="23"/>
      <c r="T26" s="23"/>
      <c r="U26" s="23"/>
      <c r="V26" s="23"/>
      <c r="W26" s="23"/>
      <c r="X26" s="23"/>
      <c r="Y26" s="27"/>
    </row>
    <row r="27" spans="2:25" ht="15" x14ac:dyDescent="0.25">
      <c r="B27" s="23"/>
      <c r="C27" s="23"/>
      <c r="D27" s="23"/>
      <c r="E27" s="23"/>
      <c r="F27" s="23"/>
      <c r="G27" s="23"/>
      <c r="H27" s="23"/>
      <c r="I27" s="23"/>
      <c r="J27" s="23"/>
      <c r="K27" s="23"/>
      <c r="L27" s="23"/>
      <c r="M27" s="23"/>
      <c r="N27" s="23"/>
      <c r="O27" s="23"/>
      <c r="P27" s="23"/>
      <c r="Q27" s="23"/>
      <c r="R27" s="23"/>
      <c r="S27" s="23"/>
      <c r="T27" s="23"/>
      <c r="U27" s="23"/>
      <c r="V27" s="23"/>
      <c r="W27" s="23"/>
      <c r="X27" s="23"/>
      <c r="Y27" s="27"/>
    </row>
    <row r="28" spans="2:25" ht="15" x14ac:dyDescent="0.25">
      <c r="B28" s="23"/>
      <c r="C28" s="23"/>
      <c r="D28" s="23"/>
      <c r="E28" s="23"/>
      <c r="F28" s="23"/>
      <c r="G28" s="23"/>
      <c r="H28" s="23"/>
      <c r="I28" s="23"/>
      <c r="J28" s="23"/>
      <c r="K28" s="23"/>
      <c r="L28" s="23"/>
      <c r="M28" s="23"/>
      <c r="N28" s="23"/>
      <c r="O28" s="23"/>
      <c r="P28" s="23"/>
      <c r="Q28" s="23"/>
      <c r="R28" s="23"/>
      <c r="S28" s="23"/>
      <c r="T28" s="23"/>
      <c r="U28" s="23"/>
      <c r="V28" s="23"/>
      <c r="W28" s="23"/>
      <c r="X28" s="23"/>
      <c r="Y28" s="27"/>
    </row>
    <row r="29" spans="2:25" ht="15" x14ac:dyDescent="0.25">
      <c r="B29" s="23"/>
      <c r="C29" s="23"/>
      <c r="D29" s="23"/>
      <c r="E29" s="23"/>
      <c r="F29" s="23"/>
      <c r="G29" s="23"/>
      <c r="H29" s="23"/>
      <c r="I29" s="23"/>
      <c r="J29" s="23"/>
      <c r="K29" s="23"/>
      <c r="L29" s="23"/>
      <c r="M29" s="23"/>
      <c r="N29" s="23"/>
      <c r="O29" s="23"/>
      <c r="P29" s="23"/>
      <c r="Q29" s="23"/>
      <c r="R29" s="23"/>
      <c r="S29" s="23"/>
      <c r="T29" s="23"/>
      <c r="U29" s="23"/>
      <c r="V29" s="23"/>
      <c r="W29" s="23"/>
      <c r="X29" s="23"/>
      <c r="Y29" s="27"/>
    </row>
    <row r="74" spans="2:4" x14ac:dyDescent="0.25">
      <c r="B74" s="22"/>
      <c r="C74" s="22"/>
      <c r="D74" s="22"/>
    </row>
    <row r="75" spans="2:4" x14ac:dyDescent="0.25">
      <c r="B75" s="22"/>
      <c r="C75" s="22"/>
      <c r="D75" s="22"/>
    </row>
    <row r="76" spans="2:4" x14ac:dyDescent="0.25">
      <c r="B76" s="2"/>
    </row>
    <row r="77" spans="2:4" x14ac:dyDescent="0.25">
      <c r="B77" s="2"/>
    </row>
    <row r="78" spans="2:4" x14ac:dyDescent="0.25">
      <c r="B78" s="2"/>
    </row>
  </sheetData>
  <mergeCells count="1">
    <mergeCell ref="A3:B3"/>
  </mergeCells>
  <printOptions horizontalCentered="1"/>
  <pageMargins left="3.937007874015748E-2" right="3.937007874015748E-2" top="0.74803149606299213" bottom="0.74803149606299213" header="0.31496062992125984" footer="0.31496062992125984"/>
  <pageSetup paperSize="9" scale="61" orientation="landscape" r:id="rId1"/>
  <headerFooter alignWithMargins="0">
    <oddFooter>&amp;R13</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961ED"/>
    <outlinePr summaryBelow="0"/>
    <pageSetUpPr fitToPage="1"/>
  </sheetPr>
  <dimension ref="A1:R86"/>
  <sheetViews>
    <sheetView showGridLines="0" topLeftCell="C1" zoomScale="74" zoomScaleNormal="90" workbookViewId="0">
      <pane ySplit="9" topLeftCell="A21" activePane="bottomLeft" state="frozenSplit"/>
      <selection pane="bottomLeft" activeCell="AB22" sqref="AB22"/>
    </sheetView>
  </sheetViews>
  <sheetFormatPr defaultRowHeight="13.2" x14ac:dyDescent="0.25"/>
  <cols>
    <col min="1" max="1" width="3.44140625" customWidth="1"/>
    <col min="2" max="2" width="8.6640625" style="259" customWidth="1"/>
    <col min="3" max="3" width="44.88671875" style="174" customWidth="1"/>
    <col min="4" max="4" width="17" style="259" customWidth="1"/>
    <col min="5" max="7" width="15.44140625" style="1" customWidth="1"/>
    <col min="8" max="8" width="14.44140625" style="1" customWidth="1"/>
    <col min="9" max="9" width="21.6640625" style="107" customWidth="1"/>
    <col min="10" max="10" width="13.44140625" style="1" customWidth="1"/>
    <col min="11" max="11" width="22.6640625" style="1" bestFit="1" customWidth="1"/>
    <col min="12" max="12" width="12.5546875" customWidth="1"/>
    <col min="15" max="15" width="8.6640625" customWidth="1"/>
    <col min="16" max="16" width="46.109375" customWidth="1"/>
    <col min="17" max="17" width="56.44140625" customWidth="1"/>
    <col min="18" max="18" width="16" customWidth="1"/>
  </cols>
  <sheetData>
    <row r="1" spans="2:18" ht="10.199999999999999" customHeight="1" x14ac:dyDescent="0.25"/>
    <row r="2" spans="2:18" x14ac:dyDescent="0.25">
      <c r="C2" s="190"/>
    </row>
    <row r="3" spans="2:18" ht="17.399999999999999" x14ac:dyDescent="0.25">
      <c r="C3" s="192"/>
    </row>
    <row r="7" spans="2:18" ht="16.8" x14ac:dyDescent="0.25">
      <c r="B7" s="260" t="s">
        <v>48</v>
      </c>
    </row>
    <row r="8" spans="2:18" ht="13.8" thickBot="1" x14ac:dyDescent="0.3"/>
    <row r="9" spans="2:18" s="14" customFormat="1" ht="31.8" thickBot="1" x14ac:dyDescent="0.3">
      <c r="B9" s="141" t="s">
        <v>0</v>
      </c>
      <c r="C9" s="142" t="s">
        <v>50</v>
      </c>
      <c r="D9" s="143" t="s">
        <v>2</v>
      </c>
      <c r="E9" s="144" t="s">
        <v>184</v>
      </c>
      <c r="F9" s="144" t="s">
        <v>185</v>
      </c>
      <c r="G9" s="144" t="s">
        <v>391</v>
      </c>
      <c r="H9" s="145" t="s">
        <v>3</v>
      </c>
      <c r="I9" s="145" t="s">
        <v>4</v>
      </c>
      <c r="J9" s="145" t="s">
        <v>5</v>
      </c>
      <c r="K9" s="145" t="s">
        <v>30</v>
      </c>
      <c r="L9" s="146" t="s">
        <v>6</v>
      </c>
      <c r="O9" s="611" t="s">
        <v>182</v>
      </c>
      <c r="P9" s="612"/>
      <c r="Q9" s="612"/>
      <c r="R9" s="613"/>
    </row>
    <row r="10" spans="2:18" s="8" customFormat="1" ht="31.95" customHeight="1" thickBot="1" x14ac:dyDescent="0.3">
      <c r="B10" s="141">
        <v>1</v>
      </c>
      <c r="C10" s="147" t="s">
        <v>54</v>
      </c>
      <c r="D10" s="295"/>
      <c r="E10" s="290"/>
      <c r="F10" s="290"/>
      <c r="G10" s="144"/>
      <c r="H10" s="145"/>
      <c r="I10" s="145"/>
      <c r="J10" s="145"/>
      <c r="K10" s="289">
        <v>2500</v>
      </c>
      <c r="L10" s="148"/>
      <c r="O10" s="273"/>
      <c r="P10" s="272" t="s">
        <v>179</v>
      </c>
      <c r="Q10" s="272" t="s">
        <v>2</v>
      </c>
      <c r="R10" s="274" t="s">
        <v>390</v>
      </c>
    </row>
    <row r="11" spans="2:18" s="8" customFormat="1" ht="22.5" customHeight="1" x14ac:dyDescent="0.25">
      <c r="B11" s="179" t="s">
        <v>11</v>
      </c>
      <c r="C11" s="175" t="s">
        <v>306</v>
      </c>
      <c r="D11" s="127" t="s">
        <v>392</v>
      </c>
      <c r="E11" s="291">
        <v>45876</v>
      </c>
      <c r="F11" s="291">
        <v>45879</v>
      </c>
      <c r="G11" s="115">
        <v>4</v>
      </c>
      <c r="H11" s="128" t="s">
        <v>176</v>
      </c>
      <c r="I11" s="124" t="s">
        <v>55</v>
      </c>
      <c r="J11" s="129" t="s">
        <v>47</v>
      </c>
      <c r="K11" s="130">
        <v>2500</v>
      </c>
      <c r="L11" s="131"/>
      <c r="O11" s="275">
        <v>1</v>
      </c>
      <c r="P11" s="269" t="s">
        <v>394</v>
      </c>
      <c r="Q11" s="269" t="s">
        <v>178</v>
      </c>
      <c r="R11" s="280">
        <v>4</v>
      </c>
    </row>
    <row r="12" spans="2:18" s="8" customFormat="1" ht="27.75" customHeight="1" x14ac:dyDescent="0.25">
      <c r="B12" s="180" t="s">
        <v>14</v>
      </c>
      <c r="C12" s="136" t="s">
        <v>307</v>
      </c>
      <c r="D12" s="111" t="s">
        <v>11</v>
      </c>
      <c r="E12" s="292">
        <v>45878</v>
      </c>
      <c r="F12" s="292">
        <v>45881</v>
      </c>
      <c r="G12" s="114">
        <v>4</v>
      </c>
      <c r="H12" s="128" t="s">
        <v>176</v>
      </c>
      <c r="I12" s="108" t="s">
        <v>55</v>
      </c>
      <c r="J12" s="106" t="s">
        <v>47</v>
      </c>
      <c r="K12" s="113">
        <v>2000</v>
      </c>
      <c r="L12" s="132"/>
      <c r="O12" s="275">
        <v>2</v>
      </c>
      <c r="P12" s="269" t="s">
        <v>395</v>
      </c>
      <c r="Q12" s="269">
        <v>1</v>
      </c>
      <c r="R12" s="280">
        <v>4</v>
      </c>
    </row>
    <row r="13" spans="2:18" s="8" customFormat="1" ht="28.5" customHeight="1" thickBot="1" x14ac:dyDescent="0.3">
      <c r="B13" s="181" t="s">
        <v>15</v>
      </c>
      <c r="C13" s="176" t="s">
        <v>308</v>
      </c>
      <c r="D13" s="125" t="s">
        <v>14</v>
      </c>
      <c r="E13" s="293">
        <v>45879</v>
      </c>
      <c r="F13" s="293">
        <v>45882</v>
      </c>
      <c r="G13" s="119">
        <v>4</v>
      </c>
      <c r="H13" s="128" t="s">
        <v>176</v>
      </c>
      <c r="I13" s="109" t="s">
        <v>55</v>
      </c>
      <c r="J13" s="121" t="s">
        <v>47</v>
      </c>
      <c r="K13" s="122">
        <v>3200</v>
      </c>
      <c r="L13" s="160"/>
      <c r="O13" s="275">
        <v>3</v>
      </c>
      <c r="P13" s="269" t="s">
        <v>352</v>
      </c>
      <c r="Q13" s="269">
        <v>2</v>
      </c>
      <c r="R13" s="280">
        <v>4</v>
      </c>
    </row>
    <row r="14" spans="2:18" s="8" customFormat="1" ht="18" thickBot="1" x14ac:dyDescent="0.3">
      <c r="B14" s="153">
        <v>2</v>
      </c>
      <c r="C14" s="154" t="s">
        <v>56</v>
      </c>
      <c r="D14" s="155" t="s">
        <v>15</v>
      </c>
      <c r="E14" s="294"/>
      <c r="F14" s="294"/>
      <c r="G14" s="162"/>
      <c r="H14" s="163"/>
      <c r="I14" s="163"/>
      <c r="J14" s="163"/>
      <c r="K14" s="184">
        <f>SUM(K11:K13)</f>
        <v>7700</v>
      </c>
      <c r="L14" s="164"/>
      <c r="O14" s="275">
        <v>4</v>
      </c>
      <c r="P14" s="269" t="s">
        <v>396</v>
      </c>
      <c r="Q14" s="269">
        <v>2</v>
      </c>
      <c r="R14" s="280">
        <v>4</v>
      </c>
    </row>
    <row r="15" spans="2:18" s="2" customFormat="1" ht="37.5" customHeight="1" x14ac:dyDescent="0.25">
      <c r="B15" s="179" t="s">
        <v>7</v>
      </c>
      <c r="C15" s="175" t="s">
        <v>309</v>
      </c>
      <c r="D15" s="127" t="s">
        <v>7</v>
      </c>
      <c r="E15" s="291">
        <v>45879</v>
      </c>
      <c r="F15" s="291">
        <v>45882</v>
      </c>
      <c r="G15" s="151">
        <v>4</v>
      </c>
      <c r="H15" s="129" t="s">
        <v>176</v>
      </c>
      <c r="I15" s="161" t="s">
        <v>55</v>
      </c>
      <c r="J15" s="129" t="s">
        <v>47</v>
      </c>
      <c r="K15" s="130">
        <v>2000</v>
      </c>
      <c r="L15" s="152"/>
      <c r="O15" s="275">
        <v>5</v>
      </c>
      <c r="P15" s="269" t="s">
        <v>310</v>
      </c>
      <c r="Q15" s="269">
        <v>2</v>
      </c>
      <c r="R15" s="280">
        <v>4</v>
      </c>
    </row>
    <row r="16" spans="2:18" s="2" customFormat="1" ht="33" customHeight="1" x14ac:dyDescent="0.25">
      <c r="B16" s="180" t="s">
        <v>8</v>
      </c>
      <c r="C16" s="250" t="s">
        <v>310</v>
      </c>
      <c r="D16" s="111" t="s">
        <v>14</v>
      </c>
      <c r="E16" s="292">
        <v>45880</v>
      </c>
      <c r="F16" s="292">
        <v>45883</v>
      </c>
      <c r="G16" s="112">
        <v>4</v>
      </c>
      <c r="H16" s="129" t="s">
        <v>176</v>
      </c>
      <c r="I16" s="109" t="s">
        <v>55</v>
      </c>
      <c r="J16" s="106" t="s">
        <v>47</v>
      </c>
      <c r="K16" s="113">
        <v>2500</v>
      </c>
      <c r="L16" s="133"/>
      <c r="O16" s="275">
        <v>6</v>
      </c>
      <c r="P16" s="270" t="s">
        <v>397</v>
      </c>
      <c r="Q16" s="270" t="s">
        <v>432</v>
      </c>
      <c r="R16" s="280">
        <v>3</v>
      </c>
    </row>
    <row r="17" spans="1:18" s="2" customFormat="1" ht="28.5" customHeight="1" x14ac:dyDescent="0.25">
      <c r="B17" s="180" t="s">
        <v>42</v>
      </c>
      <c r="C17" s="250" t="s">
        <v>311</v>
      </c>
      <c r="D17" s="111" t="s">
        <v>8</v>
      </c>
      <c r="E17" s="292">
        <v>45880</v>
      </c>
      <c r="F17" s="292">
        <v>45883</v>
      </c>
      <c r="G17" s="112">
        <v>4</v>
      </c>
      <c r="H17" s="129" t="s">
        <v>176</v>
      </c>
      <c r="I17" s="109" t="s">
        <v>55</v>
      </c>
      <c r="J17" s="106" t="s">
        <v>47</v>
      </c>
      <c r="K17" s="113">
        <v>2500</v>
      </c>
      <c r="L17" s="133"/>
      <c r="O17" s="276">
        <v>7</v>
      </c>
      <c r="P17" s="271" t="s">
        <v>398</v>
      </c>
      <c r="Q17" s="271" t="s">
        <v>432</v>
      </c>
      <c r="R17" s="281">
        <v>2</v>
      </c>
    </row>
    <row r="18" spans="1:18" s="2" customFormat="1" ht="39" customHeight="1" x14ac:dyDescent="0.25">
      <c r="B18" s="180" t="s">
        <v>43</v>
      </c>
      <c r="C18" s="250" t="s">
        <v>312</v>
      </c>
      <c r="D18" s="111" t="s">
        <v>8</v>
      </c>
      <c r="E18" s="292">
        <v>45880</v>
      </c>
      <c r="F18" s="292">
        <v>45881</v>
      </c>
      <c r="G18" s="112">
        <v>2</v>
      </c>
      <c r="H18" s="106" t="s">
        <v>46</v>
      </c>
      <c r="I18" s="109" t="s">
        <v>55</v>
      </c>
      <c r="J18" s="106" t="s">
        <v>47</v>
      </c>
      <c r="K18" s="113">
        <v>2500</v>
      </c>
      <c r="L18" s="133"/>
      <c r="O18" s="275">
        <v>8</v>
      </c>
      <c r="P18" s="269" t="s">
        <v>399</v>
      </c>
      <c r="Q18" s="271">
        <v>5</v>
      </c>
      <c r="R18" s="280">
        <v>2</v>
      </c>
    </row>
    <row r="19" spans="1:18" s="2" customFormat="1" ht="34.950000000000003" customHeight="1" x14ac:dyDescent="0.25">
      <c r="B19" s="180" t="s">
        <v>64</v>
      </c>
      <c r="C19" s="250" t="s">
        <v>313</v>
      </c>
      <c r="D19" s="111" t="s">
        <v>8</v>
      </c>
      <c r="E19" s="292">
        <v>45880</v>
      </c>
      <c r="F19" s="292">
        <v>45881</v>
      </c>
      <c r="G19" s="112">
        <v>2</v>
      </c>
      <c r="H19" s="106" t="s">
        <v>46</v>
      </c>
      <c r="I19" s="109" t="s">
        <v>55</v>
      </c>
      <c r="J19" s="106" t="s">
        <v>47</v>
      </c>
      <c r="K19" s="113">
        <v>2500</v>
      </c>
      <c r="L19" s="133"/>
      <c r="O19" s="277">
        <v>9</v>
      </c>
      <c r="P19" s="270" t="s">
        <v>400</v>
      </c>
      <c r="Q19" s="270">
        <v>6</v>
      </c>
      <c r="R19" s="280">
        <v>3</v>
      </c>
    </row>
    <row r="20" spans="1:18" s="2" customFormat="1" ht="28.5" customHeight="1" x14ac:dyDescent="0.25">
      <c r="B20" s="180" t="s">
        <v>65</v>
      </c>
      <c r="C20" s="250" t="s">
        <v>314</v>
      </c>
      <c r="D20" s="111" t="s">
        <v>8</v>
      </c>
      <c r="E20" s="292">
        <v>45882</v>
      </c>
      <c r="F20" s="292">
        <v>45884</v>
      </c>
      <c r="G20" s="114">
        <v>3</v>
      </c>
      <c r="H20" s="110" t="s">
        <v>176</v>
      </c>
      <c r="I20" s="109" t="s">
        <v>55</v>
      </c>
      <c r="J20" s="106" t="s">
        <v>47</v>
      </c>
      <c r="K20" s="113">
        <v>2500</v>
      </c>
      <c r="L20" s="133"/>
      <c r="O20" s="299">
        <v>10</v>
      </c>
      <c r="P20" s="299" t="s">
        <v>357</v>
      </c>
      <c r="Q20" s="299" t="s">
        <v>433</v>
      </c>
      <c r="R20" s="298">
        <v>2</v>
      </c>
    </row>
    <row r="21" spans="1:18" s="2" customFormat="1" ht="28.5" customHeight="1" thickBot="1" x14ac:dyDescent="0.3">
      <c r="B21" s="181" t="s">
        <v>170</v>
      </c>
      <c r="C21" s="251" t="s">
        <v>315</v>
      </c>
      <c r="D21" s="125" t="s">
        <v>8</v>
      </c>
      <c r="E21" s="293">
        <v>45883</v>
      </c>
      <c r="F21" s="293">
        <v>45884</v>
      </c>
      <c r="G21" s="149">
        <v>2</v>
      </c>
      <c r="H21" s="121" t="s">
        <v>46</v>
      </c>
      <c r="I21" s="109" t="s">
        <v>55</v>
      </c>
      <c r="J21" s="121" t="s">
        <v>47</v>
      </c>
      <c r="K21" s="113">
        <v>2500</v>
      </c>
      <c r="L21" s="150"/>
      <c r="O21" s="271">
        <v>11</v>
      </c>
      <c r="P21" s="271" t="s">
        <v>316</v>
      </c>
      <c r="Q21" s="271">
        <v>3</v>
      </c>
      <c r="R21" s="271">
        <v>7</v>
      </c>
    </row>
    <row r="22" spans="1:18" s="8" customFormat="1" ht="24" customHeight="1" thickBot="1" x14ac:dyDescent="0.3">
      <c r="B22" s="153">
        <v>3</v>
      </c>
      <c r="C22" s="154" t="s">
        <v>63</v>
      </c>
      <c r="D22" s="155" t="s">
        <v>170</v>
      </c>
      <c r="E22" s="296"/>
      <c r="F22" s="296"/>
      <c r="G22" s="156"/>
      <c r="H22" s="157"/>
      <c r="I22" s="157"/>
      <c r="J22" s="157"/>
      <c r="K22" s="185">
        <f>SUM(K15:K21)</f>
        <v>17000</v>
      </c>
      <c r="L22" s="158"/>
      <c r="O22" s="271">
        <v>12</v>
      </c>
      <c r="P22" s="271" t="s">
        <v>360</v>
      </c>
      <c r="Q22" s="271">
        <v>11</v>
      </c>
      <c r="R22" s="271">
        <v>7</v>
      </c>
    </row>
    <row r="23" spans="1:18" s="2" customFormat="1" ht="28.5" customHeight="1" x14ac:dyDescent="0.25">
      <c r="A23" s="2" t="s">
        <v>44</v>
      </c>
      <c r="B23" s="179" t="s">
        <v>16</v>
      </c>
      <c r="C23" s="252" t="s">
        <v>316</v>
      </c>
      <c r="D23" s="127" t="s">
        <v>15</v>
      </c>
      <c r="E23" s="291">
        <v>45880</v>
      </c>
      <c r="F23" s="291">
        <v>45893</v>
      </c>
      <c r="G23" s="151">
        <v>14</v>
      </c>
      <c r="H23" s="129" t="s">
        <v>46</v>
      </c>
      <c r="I23" s="129" t="s">
        <v>66</v>
      </c>
      <c r="J23" s="129" t="s">
        <v>47</v>
      </c>
      <c r="K23" s="130">
        <v>2000</v>
      </c>
      <c r="L23" s="152"/>
      <c r="O23" s="271">
        <v>13</v>
      </c>
      <c r="P23" s="271" t="s">
        <v>401</v>
      </c>
      <c r="Q23" s="271">
        <v>12</v>
      </c>
      <c r="R23" s="271">
        <v>4</v>
      </c>
    </row>
    <row r="24" spans="1:18" s="2" customFormat="1" ht="28.5" customHeight="1" x14ac:dyDescent="0.25">
      <c r="B24" s="180" t="s">
        <v>129</v>
      </c>
      <c r="C24" s="250" t="s">
        <v>317</v>
      </c>
      <c r="D24" s="111" t="s">
        <v>16</v>
      </c>
      <c r="E24" s="292">
        <v>45880</v>
      </c>
      <c r="F24" s="292">
        <v>45886</v>
      </c>
      <c r="G24" s="112">
        <v>7</v>
      </c>
      <c r="H24" s="129" t="s">
        <v>46</v>
      </c>
      <c r="I24" s="106" t="s">
        <v>66</v>
      </c>
      <c r="J24" s="106" t="s">
        <v>47</v>
      </c>
      <c r="K24" s="113">
        <v>2250</v>
      </c>
      <c r="L24" s="133"/>
      <c r="O24" s="271">
        <v>14</v>
      </c>
      <c r="P24" s="271" t="s">
        <v>402</v>
      </c>
      <c r="Q24" s="271" t="s">
        <v>403</v>
      </c>
      <c r="R24" s="271">
        <v>10</v>
      </c>
    </row>
    <row r="25" spans="1:18" s="2" customFormat="1" ht="28.5" customHeight="1" x14ac:dyDescent="0.25">
      <c r="B25" s="180" t="s">
        <v>70</v>
      </c>
      <c r="C25" s="250" t="s">
        <v>318</v>
      </c>
      <c r="D25" s="111" t="s">
        <v>129</v>
      </c>
      <c r="E25" s="292">
        <v>45882</v>
      </c>
      <c r="F25" s="292">
        <v>45889</v>
      </c>
      <c r="G25" s="112">
        <v>8</v>
      </c>
      <c r="H25" s="129" t="s">
        <v>46</v>
      </c>
      <c r="I25" s="106" t="s">
        <v>66</v>
      </c>
      <c r="J25" s="106" t="s">
        <v>47</v>
      </c>
      <c r="K25" s="113">
        <v>2200</v>
      </c>
      <c r="L25" s="133"/>
      <c r="O25" s="271">
        <v>15</v>
      </c>
      <c r="P25" s="271" t="s">
        <v>404</v>
      </c>
      <c r="Q25" s="271">
        <v>14</v>
      </c>
      <c r="R25" s="271">
        <v>10</v>
      </c>
    </row>
    <row r="26" spans="1:18" s="2" customFormat="1" ht="28.5" customHeight="1" x14ac:dyDescent="0.25">
      <c r="A26" s="2" t="s">
        <v>44</v>
      </c>
      <c r="B26" s="180" t="s">
        <v>17</v>
      </c>
      <c r="C26" s="250" t="s">
        <v>319</v>
      </c>
      <c r="D26" s="266" t="s">
        <v>70</v>
      </c>
      <c r="E26" s="292">
        <v>45883</v>
      </c>
      <c r="F26" s="292">
        <v>45891</v>
      </c>
      <c r="G26" s="112">
        <v>9</v>
      </c>
      <c r="H26" s="129" t="s">
        <v>46</v>
      </c>
      <c r="I26" s="106" t="s">
        <v>66</v>
      </c>
      <c r="J26" s="106" t="s">
        <v>47</v>
      </c>
      <c r="K26" s="113">
        <v>2250</v>
      </c>
      <c r="L26" s="133"/>
      <c r="O26" s="271">
        <v>16</v>
      </c>
      <c r="P26" s="271" t="s">
        <v>405</v>
      </c>
      <c r="Q26" s="271">
        <v>15</v>
      </c>
      <c r="R26" s="271">
        <v>3</v>
      </c>
    </row>
    <row r="27" spans="1:18" s="2" customFormat="1" ht="28.5" customHeight="1" x14ac:dyDescent="0.25">
      <c r="B27" s="180" t="s">
        <v>130</v>
      </c>
      <c r="C27" s="250" t="s">
        <v>320</v>
      </c>
      <c r="D27" s="111" t="s">
        <v>17</v>
      </c>
      <c r="E27" s="292">
        <v>45884</v>
      </c>
      <c r="F27" s="292">
        <v>45892</v>
      </c>
      <c r="G27" s="112">
        <v>9</v>
      </c>
      <c r="H27" s="106" t="s">
        <v>176</v>
      </c>
      <c r="I27" s="106" t="s">
        <v>66</v>
      </c>
      <c r="J27" s="106" t="s">
        <v>47</v>
      </c>
      <c r="K27" s="113">
        <v>2250</v>
      </c>
      <c r="L27" s="133"/>
      <c r="O27" s="271">
        <v>17</v>
      </c>
      <c r="P27" s="271" t="s">
        <v>363</v>
      </c>
      <c r="Q27" s="271">
        <v>16</v>
      </c>
      <c r="R27" s="271">
        <v>3</v>
      </c>
    </row>
    <row r="28" spans="1:18" s="2" customFormat="1" ht="28.5" customHeight="1" thickBot="1" x14ac:dyDescent="0.3">
      <c r="B28" s="181" t="s">
        <v>138</v>
      </c>
      <c r="C28" s="251" t="s">
        <v>321</v>
      </c>
      <c r="D28" s="125" t="s">
        <v>17</v>
      </c>
      <c r="E28" s="293">
        <v>45885</v>
      </c>
      <c r="F28" s="293">
        <v>45893</v>
      </c>
      <c r="G28" s="149">
        <v>9</v>
      </c>
      <c r="H28" s="106" t="s">
        <v>176</v>
      </c>
      <c r="I28" s="121" t="s">
        <v>66</v>
      </c>
      <c r="J28" s="121" t="s">
        <v>47</v>
      </c>
      <c r="K28" s="113">
        <v>2250</v>
      </c>
      <c r="L28" s="150"/>
      <c r="O28" s="300">
        <v>18</v>
      </c>
      <c r="P28" s="271" t="s">
        <v>406</v>
      </c>
      <c r="Q28" s="271">
        <v>17</v>
      </c>
      <c r="R28" s="271">
        <v>4</v>
      </c>
    </row>
    <row r="29" spans="1:18" s="8" customFormat="1" ht="15.75" customHeight="1" thickBot="1" x14ac:dyDescent="0.3">
      <c r="B29" s="153">
        <v>4</v>
      </c>
      <c r="C29" s="154" t="s">
        <v>71</v>
      </c>
      <c r="D29" s="155" t="s">
        <v>138</v>
      </c>
      <c r="E29" s="294"/>
      <c r="F29" s="294"/>
      <c r="G29" s="162"/>
      <c r="H29" s="163"/>
      <c r="I29" s="163"/>
      <c r="J29" s="163"/>
      <c r="K29" s="186">
        <f>SUM(K23:K28)</f>
        <v>13200</v>
      </c>
      <c r="L29" s="164"/>
      <c r="O29" s="271">
        <v>19</v>
      </c>
      <c r="P29" s="271" t="s">
        <v>407</v>
      </c>
      <c r="Q29" s="271">
        <v>18</v>
      </c>
      <c r="R29" s="271">
        <v>3</v>
      </c>
    </row>
    <row r="30" spans="1:18" s="2" customFormat="1" ht="28.5" customHeight="1" x14ac:dyDescent="0.25">
      <c r="B30" s="179" t="s">
        <v>10</v>
      </c>
      <c r="C30" s="252" t="s">
        <v>322</v>
      </c>
      <c r="D30" s="127" t="s">
        <v>10</v>
      </c>
      <c r="E30" s="291">
        <v>45883</v>
      </c>
      <c r="F30" s="291">
        <v>45892</v>
      </c>
      <c r="G30" s="151">
        <v>10</v>
      </c>
      <c r="H30" s="129" t="s">
        <v>176</v>
      </c>
      <c r="I30" s="165" t="s">
        <v>73</v>
      </c>
      <c r="J30" s="129" t="s">
        <v>47</v>
      </c>
      <c r="K30" s="130">
        <v>6000</v>
      </c>
      <c r="L30" s="152"/>
      <c r="O30" s="271">
        <v>20</v>
      </c>
      <c r="P30" s="271" t="s">
        <v>408</v>
      </c>
      <c r="Q30" s="271">
        <v>19</v>
      </c>
      <c r="R30" s="271">
        <v>6</v>
      </c>
    </row>
    <row r="31" spans="1:18" s="2" customFormat="1" ht="28.5" customHeight="1" x14ac:dyDescent="0.25">
      <c r="B31" s="180" t="s">
        <v>75</v>
      </c>
      <c r="C31" s="250" t="s">
        <v>323</v>
      </c>
      <c r="D31" s="111" t="s">
        <v>10</v>
      </c>
      <c r="E31" s="292">
        <v>45888</v>
      </c>
      <c r="F31" s="292">
        <v>45897</v>
      </c>
      <c r="G31" s="114">
        <v>10</v>
      </c>
      <c r="H31" s="110" t="s">
        <v>46</v>
      </c>
      <c r="I31" s="118" t="s">
        <v>73</v>
      </c>
      <c r="J31" s="110" t="s">
        <v>47</v>
      </c>
      <c r="K31" s="113">
        <v>4000</v>
      </c>
      <c r="L31" s="133"/>
      <c r="O31" s="271">
        <v>21</v>
      </c>
      <c r="P31" s="271" t="s">
        <v>409</v>
      </c>
      <c r="Q31" s="271">
        <v>20</v>
      </c>
      <c r="R31" s="271">
        <v>6</v>
      </c>
    </row>
    <row r="32" spans="1:18" s="2" customFormat="1" ht="28.5" customHeight="1" x14ac:dyDescent="0.25">
      <c r="B32" s="180" t="s">
        <v>171</v>
      </c>
      <c r="C32" s="250" t="s">
        <v>324</v>
      </c>
      <c r="D32" s="111" t="s">
        <v>10</v>
      </c>
      <c r="E32" s="292">
        <v>45898</v>
      </c>
      <c r="F32" s="292">
        <v>45900</v>
      </c>
      <c r="G32" s="114">
        <v>3</v>
      </c>
      <c r="H32" s="110" t="s">
        <v>176</v>
      </c>
      <c r="I32" s="118" t="s">
        <v>73</v>
      </c>
      <c r="J32" s="110" t="s">
        <v>47</v>
      </c>
      <c r="K32" s="113">
        <v>4500</v>
      </c>
      <c r="L32" s="133"/>
      <c r="O32" s="271">
        <v>22</v>
      </c>
      <c r="P32" s="271" t="s">
        <v>410</v>
      </c>
      <c r="Q32" s="271">
        <v>21</v>
      </c>
      <c r="R32" s="271">
        <v>6</v>
      </c>
    </row>
    <row r="33" spans="1:18" s="2" customFormat="1" ht="28.5" customHeight="1" thickBot="1" x14ac:dyDescent="0.35">
      <c r="B33" s="180" t="s">
        <v>33</v>
      </c>
      <c r="C33" s="250" t="s">
        <v>325</v>
      </c>
      <c r="D33" s="111" t="s">
        <v>8</v>
      </c>
      <c r="E33" s="292">
        <v>45890</v>
      </c>
      <c r="F33" s="292">
        <v>45892</v>
      </c>
      <c r="G33" s="114">
        <v>3</v>
      </c>
      <c r="H33" s="110" t="s">
        <v>46</v>
      </c>
      <c r="I33" s="118" t="s">
        <v>73</v>
      </c>
      <c r="J33" s="110" t="s">
        <v>47</v>
      </c>
      <c r="K33" s="113">
        <v>4000</v>
      </c>
      <c r="L33" s="133"/>
      <c r="O33" s="278"/>
      <c r="P33" s="609"/>
      <c r="Q33" s="610"/>
      <c r="R33" s="279"/>
    </row>
    <row r="34" spans="1:18" s="2" customFormat="1" ht="28.5" customHeight="1" x14ac:dyDescent="0.25">
      <c r="B34" s="180" t="s">
        <v>45</v>
      </c>
      <c r="C34" s="250" t="s">
        <v>326</v>
      </c>
      <c r="D34" s="111" t="s">
        <v>33</v>
      </c>
      <c r="E34" s="292">
        <v>45892</v>
      </c>
      <c r="F34" s="292">
        <v>45899</v>
      </c>
      <c r="G34" s="114">
        <v>8</v>
      </c>
      <c r="H34" s="110" t="s">
        <v>176</v>
      </c>
      <c r="I34" s="118" t="s">
        <v>73</v>
      </c>
      <c r="J34" s="110" t="s">
        <v>47</v>
      </c>
      <c r="K34" s="113">
        <v>4000</v>
      </c>
      <c r="L34" s="133"/>
      <c r="O34" s="8"/>
      <c r="P34" s="8"/>
      <c r="Q34" s="8"/>
      <c r="R34" s="8"/>
    </row>
    <row r="35" spans="1:18" s="2" customFormat="1" ht="16.5" customHeight="1" x14ac:dyDescent="0.25">
      <c r="B35" s="180" t="s">
        <v>77</v>
      </c>
      <c r="C35" s="250" t="s">
        <v>327</v>
      </c>
      <c r="D35" s="111" t="s">
        <v>33</v>
      </c>
      <c r="E35" s="292">
        <v>45892</v>
      </c>
      <c r="F35" s="292">
        <v>45900</v>
      </c>
      <c r="G35" s="114">
        <v>9</v>
      </c>
      <c r="H35" s="110" t="s">
        <v>46</v>
      </c>
      <c r="I35" s="118" t="s">
        <v>73</v>
      </c>
      <c r="J35" s="110" t="s">
        <v>47</v>
      </c>
      <c r="K35" s="113">
        <v>4000</v>
      </c>
      <c r="L35" s="133"/>
    </row>
    <row r="36" spans="1:18" s="2" customFormat="1" ht="28.5" customHeight="1" thickBot="1" x14ac:dyDescent="0.3">
      <c r="B36" s="181" t="s">
        <v>78</v>
      </c>
      <c r="C36" s="251" t="s">
        <v>328</v>
      </c>
      <c r="D36" s="125" t="s">
        <v>33</v>
      </c>
      <c r="E36" s="293">
        <v>45892</v>
      </c>
      <c r="F36" s="293">
        <v>45902</v>
      </c>
      <c r="G36" s="119">
        <v>11</v>
      </c>
      <c r="H36" s="120" t="s">
        <v>176</v>
      </c>
      <c r="I36" s="159" t="s">
        <v>73</v>
      </c>
      <c r="J36" s="120" t="s">
        <v>47</v>
      </c>
      <c r="K36" s="122">
        <v>5500</v>
      </c>
      <c r="L36" s="150"/>
    </row>
    <row r="37" spans="1:18" s="8" customFormat="1" ht="28.5" customHeight="1" thickBot="1" x14ac:dyDescent="0.3">
      <c r="B37" s="153">
        <v>5</v>
      </c>
      <c r="C37" s="154" t="s">
        <v>61</v>
      </c>
      <c r="D37" s="155" t="s">
        <v>33</v>
      </c>
      <c r="E37" s="294"/>
      <c r="F37" s="294"/>
      <c r="G37" s="162"/>
      <c r="H37" s="237"/>
      <c r="I37" s="163"/>
      <c r="J37" s="163"/>
      <c r="K37" s="186">
        <f>SUM(K30:K36)</f>
        <v>32000</v>
      </c>
      <c r="L37" s="164"/>
      <c r="O37" s="2"/>
      <c r="P37" s="2"/>
      <c r="Q37" s="2"/>
      <c r="R37" s="2"/>
    </row>
    <row r="38" spans="1:18" s="2" customFormat="1" ht="28.5" customHeight="1" x14ac:dyDescent="0.25">
      <c r="B38" s="179" t="s">
        <v>18</v>
      </c>
      <c r="C38" s="253" t="s">
        <v>329</v>
      </c>
      <c r="D38" s="127" t="s">
        <v>33</v>
      </c>
      <c r="E38" s="291">
        <v>45892</v>
      </c>
      <c r="F38" s="291">
        <v>45894</v>
      </c>
      <c r="G38" s="115">
        <v>3</v>
      </c>
      <c r="H38" s="116" t="s">
        <v>176</v>
      </c>
      <c r="I38" s="117" t="s">
        <v>121</v>
      </c>
      <c r="J38" s="116" t="s">
        <v>47</v>
      </c>
      <c r="K38" s="130">
        <v>3000</v>
      </c>
      <c r="L38" s="152"/>
    </row>
    <row r="39" spans="1:18" s="2" customFormat="1" ht="21" customHeight="1" x14ac:dyDescent="0.25">
      <c r="B39" s="180" t="s">
        <v>19</v>
      </c>
      <c r="C39" s="250" t="s">
        <v>330</v>
      </c>
      <c r="D39" s="111" t="s">
        <v>18</v>
      </c>
      <c r="E39" s="292">
        <v>45892</v>
      </c>
      <c r="F39" s="292">
        <v>45894</v>
      </c>
      <c r="G39" s="114">
        <v>3</v>
      </c>
      <c r="H39" s="110" t="s">
        <v>176</v>
      </c>
      <c r="I39" s="118" t="s">
        <v>121</v>
      </c>
      <c r="J39" s="110" t="s">
        <v>47</v>
      </c>
      <c r="K39" s="113">
        <v>1000</v>
      </c>
      <c r="L39" s="133"/>
    </row>
    <row r="40" spans="1:18" s="2" customFormat="1" ht="28.5" customHeight="1" thickBot="1" x14ac:dyDescent="0.3">
      <c r="B40" s="181" t="s">
        <v>20</v>
      </c>
      <c r="C40" s="251" t="s">
        <v>331</v>
      </c>
      <c r="D40" s="125" t="s">
        <v>20</v>
      </c>
      <c r="E40" s="293">
        <v>45894</v>
      </c>
      <c r="F40" s="293">
        <v>45896</v>
      </c>
      <c r="G40" s="119">
        <v>3</v>
      </c>
      <c r="H40" s="120" t="s">
        <v>46</v>
      </c>
      <c r="I40" s="159" t="s">
        <v>121</v>
      </c>
      <c r="J40" s="120" t="s">
        <v>47</v>
      </c>
      <c r="K40" s="122">
        <v>1000</v>
      </c>
      <c r="L40" s="150"/>
      <c r="O40" s="8"/>
      <c r="P40" s="8"/>
      <c r="Q40" s="8"/>
      <c r="R40" s="8"/>
    </row>
    <row r="41" spans="1:18" s="2" customFormat="1" ht="28.5" customHeight="1" thickBot="1" x14ac:dyDescent="0.3">
      <c r="B41" s="153">
        <v>6</v>
      </c>
      <c r="C41" s="154" t="s">
        <v>85</v>
      </c>
      <c r="D41" s="155" t="s">
        <v>20</v>
      </c>
      <c r="E41" s="296"/>
      <c r="F41" s="296"/>
      <c r="G41" s="156"/>
      <c r="H41" s="157"/>
      <c r="I41" s="157"/>
      <c r="J41" s="157"/>
      <c r="K41" s="185">
        <f>SUM(K38:K40)</f>
        <v>5000</v>
      </c>
      <c r="L41" s="158"/>
    </row>
    <row r="42" spans="1:18" s="2" customFormat="1" ht="21" customHeight="1" x14ac:dyDescent="0.25">
      <c r="B42" s="179" t="s">
        <v>89</v>
      </c>
      <c r="C42" s="252" t="s">
        <v>332</v>
      </c>
      <c r="D42" s="127" t="s">
        <v>18</v>
      </c>
      <c r="E42" s="291">
        <v>45892</v>
      </c>
      <c r="F42" s="291">
        <v>45893</v>
      </c>
      <c r="G42" s="115">
        <v>2</v>
      </c>
      <c r="H42" s="116" t="s">
        <v>46</v>
      </c>
      <c r="I42" s="117" t="s">
        <v>122</v>
      </c>
      <c r="J42" s="116" t="s">
        <v>47</v>
      </c>
      <c r="K42" s="130">
        <v>7500</v>
      </c>
      <c r="L42" s="131"/>
    </row>
    <row r="43" spans="1:18" s="2" customFormat="1" ht="24" customHeight="1" x14ac:dyDescent="0.25">
      <c r="B43" s="180" t="s">
        <v>365</v>
      </c>
      <c r="C43" s="250" t="s">
        <v>333</v>
      </c>
      <c r="D43" s="111" t="s">
        <v>89</v>
      </c>
      <c r="E43" s="292">
        <v>45893</v>
      </c>
      <c r="F43" s="292">
        <v>45894</v>
      </c>
      <c r="G43" s="114">
        <v>2</v>
      </c>
      <c r="H43" s="116" t="s">
        <v>46</v>
      </c>
      <c r="I43" s="117" t="s">
        <v>122</v>
      </c>
      <c r="J43" s="110" t="s">
        <v>47</v>
      </c>
      <c r="K43" s="113">
        <v>2600</v>
      </c>
      <c r="L43" s="132"/>
    </row>
    <row r="44" spans="1:18" s="2" customFormat="1" ht="28.5" customHeight="1" thickBot="1" x14ac:dyDescent="0.3">
      <c r="B44" s="181" t="s">
        <v>367</v>
      </c>
      <c r="C44" s="251" t="s">
        <v>334</v>
      </c>
      <c r="D44" s="125" t="s">
        <v>365</v>
      </c>
      <c r="E44" s="293">
        <v>45894</v>
      </c>
      <c r="F44" s="293">
        <v>45895</v>
      </c>
      <c r="G44" s="119">
        <v>2</v>
      </c>
      <c r="H44" s="238" t="s">
        <v>46</v>
      </c>
      <c r="I44" s="166" t="s">
        <v>122</v>
      </c>
      <c r="J44" s="120" t="s">
        <v>47</v>
      </c>
      <c r="K44" s="122">
        <v>1500</v>
      </c>
      <c r="L44" s="160"/>
    </row>
    <row r="45" spans="1:18" s="2" customFormat="1" ht="28.5" customHeight="1" thickBot="1" x14ac:dyDescent="0.3">
      <c r="B45" s="153">
        <v>7</v>
      </c>
      <c r="C45" s="154" t="s">
        <v>181</v>
      </c>
      <c r="D45" s="155" t="s">
        <v>89</v>
      </c>
      <c r="E45" s="296"/>
      <c r="F45" s="296"/>
      <c r="G45" s="156"/>
      <c r="H45" s="239"/>
      <c r="I45" s="157"/>
      <c r="J45" s="157"/>
      <c r="K45" s="185">
        <f>SUM(K42:K44)</f>
        <v>11600</v>
      </c>
      <c r="L45" s="158"/>
    </row>
    <row r="46" spans="1:18" s="2" customFormat="1" ht="28.5" customHeight="1" x14ac:dyDescent="0.25">
      <c r="B46" s="179" t="s">
        <v>96</v>
      </c>
      <c r="C46" s="254" t="s">
        <v>335</v>
      </c>
      <c r="D46" s="127" t="s">
        <v>367</v>
      </c>
      <c r="E46" s="291">
        <v>45894</v>
      </c>
      <c r="F46" s="291">
        <v>45895</v>
      </c>
      <c r="G46" s="115">
        <v>2</v>
      </c>
      <c r="H46" s="116" t="s">
        <v>176</v>
      </c>
      <c r="I46" s="117" t="s">
        <v>124</v>
      </c>
      <c r="J46" s="240" t="s">
        <v>47</v>
      </c>
      <c r="K46" s="130">
        <v>7500</v>
      </c>
      <c r="L46" s="131"/>
    </row>
    <row r="47" spans="1:18" s="2" customFormat="1" ht="20.25" customHeight="1" x14ac:dyDescent="0.25">
      <c r="B47" s="180" t="s">
        <v>97</v>
      </c>
      <c r="C47" s="250" t="s">
        <v>336</v>
      </c>
      <c r="D47" s="111" t="s">
        <v>96</v>
      </c>
      <c r="E47" s="292">
        <v>45896</v>
      </c>
      <c r="F47" s="292">
        <v>45897</v>
      </c>
      <c r="G47" s="114">
        <v>2</v>
      </c>
      <c r="H47" s="110" t="s">
        <v>176</v>
      </c>
      <c r="I47" s="118" t="s">
        <v>125</v>
      </c>
      <c r="J47" s="110" t="s">
        <v>47</v>
      </c>
      <c r="K47" s="113">
        <v>6600</v>
      </c>
      <c r="L47" s="132"/>
    </row>
    <row r="48" spans="1:18" s="2" customFormat="1" ht="22.5" customHeight="1" thickBot="1" x14ac:dyDescent="0.3">
      <c r="A48" s="2" t="s">
        <v>98</v>
      </c>
      <c r="B48" s="181" t="s">
        <v>99</v>
      </c>
      <c r="C48" s="251" t="s">
        <v>337</v>
      </c>
      <c r="D48" s="125" t="s">
        <v>97</v>
      </c>
      <c r="E48" s="293">
        <v>45898</v>
      </c>
      <c r="F48" s="293">
        <v>45899</v>
      </c>
      <c r="G48" s="119">
        <v>2</v>
      </c>
      <c r="H48" s="120" t="s">
        <v>176</v>
      </c>
      <c r="I48" s="159" t="s">
        <v>125</v>
      </c>
      <c r="J48" s="120" t="s">
        <v>47</v>
      </c>
      <c r="K48" s="122">
        <v>4500</v>
      </c>
      <c r="L48" s="160"/>
      <c r="O48" s="8"/>
      <c r="P48" s="8"/>
      <c r="Q48" s="8"/>
      <c r="R48" s="8"/>
    </row>
    <row r="49" spans="2:18" s="2" customFormat="1" ht="28.5" customHeight="1" thickBot="1" x14ac:dyDescent="0.3">
      <c r="B49" s="153">
        <v>8</v>
      </c>
      <c r="C49" s="255" t="s">
        <v>180</v>
      </c>
      <c r="D49" s="155" t="s">
        <v>99</v>
      </c>
      <c r="E49" s="156"/>
      <c r="F49" s="156"/>
      <c r="G49" s="156"/>
      <c r="H49" s="239"/>
      <c r="I49" s="157"/>
      <c r="J49" s="157"/>
      <c r="K49" s="185">
        <f>SUM(K46:K48)</f>
        <v>18600</v>
      </c>
      <c r="L49" s="158"/>
    </row>
    <row r="50" spans="2:18" s="2" customFormat="1" ht="28.5" customHeight="1" x14ac:dyDescent="0.25">
      <c r="B50" s="179" t="s">
        <v>104</v>
      </c>
      <c r="C50" s="252" t="s">
        <v>338</v>
      </c>
      <c r="D50" s="127" t="s">
        <v>99</v>
      </c>
      <c r="E50" s="291">
        <v>45900</v>
      </c>
      <c r="F50" s="291">
        <v>45905</v>
      </c>
      <c r="G50" s="115">
        <v>6</v>
      </c>
      <c r="H50" s="116" t="s">
        <v>176</v>
      </c>
      <c r="I50" s="116" t="s">
        <v>127</v>
      </c>
      <c r="J50" s="116" t="s">
        <v>47</v>
      </c>
      <c r="K50" s="130">
        <v>5000</v>
      </c>
      <c r="L50" s="131"/>
    </row>
    <row r="51" spans="2:18" s="2" customFormat="1" ht="28.5" customHeight="1" x14ac:dyDescent="0.25">
      <c r="B51" s="180" t="s">
        <v>105</v>
      </c>
      <c r="C51" s="250" t="s">
        <v>339</v>
      </c>
      <c r="D51" s="111" t="s">
        <v>99</v>
      </c>
      <c r="E51" s="291">
        <v>45900</v>
      </c>
      <c r="F51" s="291">
        <v>45905</v>
      </c>
      <c r="G51" s="115">
        <v>6</v>
      </c>
      <c r="H51" s="110" t="s">
        <v>176</v>
      </c>
      <c r="I51" s="110" t="s">
        <v>127</v>
      </c>
      <c r="J51" s="110" t="s">
        <v>47</v>
      </c>
      <c r="K51" s="113">
        <v>4000</v>
      </c>
      <c r="L51" s="132"/>
    </row>
    <row r="52" spans="2:18" s="2" customFormat="1" ht="28.5" customHeight="1" thickBot="1" x14ac:dyDescent="0.3">
      <c r="B52" s="181" t="s">
        <v>106</v>
      </c>
      <c r="C52" s="251" t="s">
        <v>340</v>
      </c>
      <c r="D52" s="125" t="s">
        <v>99</v>
      </c>
      <c r="E52" s="291">
        <v>45900</v>
      </c>
      <c r="F52" s="291">
        <v>45905</v>
      </c>
      <c r="G52" s="115">
        <v>6</v>
      </c>
      <c r="H52" s="120" t="s">
        <v>176</v>
      </c>
      <c r="I52" s="120" t="s">
        <v>127</v>
      </c>
      <c r="J52" s="120" t="s">
        <v>47</v>
      </c>
      <c r="K52" s="122">
        <v>2000</v>
      </c>
      <c r="L52" s="160"/>
    </row>
    <row r="53" spans="2:18" s="2" customFormat="1" ht="28.5" customHeight="1" thickBot="1" x14ac:dyDescent="0.3">
      <c r="B53" s="153">
        <v>9</v>
      </c>
      <c r="C53" s="255" t="s">
        <v>183</v>
      </c>
      <c r="D53" s="155" t="s">
        <v>106</v>
      </c>
      <c r="E53" s="167"/>
      <c r="F53" s="167"/>
      <c r="G53" s="167"/>
      <c r="H53" s="239"/>
      <c r="I53" s="157"/>
      <c r="J53" s="157"/>
      <c r="K53" s="185">
        <f>SUM(K50:K52)</f>
        <v>11000</v>
      </c>
      <c r="L53" s="158"/>
    </row>
    <row r="54" spans="2:18" s="2" customFormat="1" ht="28.5" customHeight="1" x14ac:dyDescent="0.25">
      <c r="B54" s="179" t="s">
        <v>111</v>
      </c>
      <c r="C54" s="252" t="s">
        <v>341</v>
      </c>
      <c r="D54" s="127" t="s">
        <v>106</v>
      </c>
      <c r="E54" s="115" t="s">
        <v>393</v>
      </c>
      <c r="F54" s="291">
        <v>45911</v>
      </c>
      <c r="G54" s="115">
        <v>6</v>
      </c>
      <c r="H54" s="116" t="s">
        <v>176</v>
      </c>
      <c r="I54" s="116" t="s">
        <v>127</v>
      </c>
      <c r="J54" s="116" t="s">
        <v>47</v>
      </c>
      <c r="K54" s="130">
        <v>3500</v>
      </c>
      <c r="L54" s="131"/>
    </row>
    <row r="55" spans="2:18" s="2" customFormat="1" ht="28.5" customHeight="1" x14ac:dyDescent="0.25">
      <c r="B55" s="180" t="s">
        <v>112</v>
      </c>
      <c r="C55" s="250" t="s">
        <v>342</v>
      </c>
      <c r="D55" s="111" t="s">
        <v>111</v>
      </c>
      <c r="E55" s="115" t="s">
        <v>393</v>
      </c>
      <c r="F55" s="291">
        <v>45911</v>
      </c>
      <c r="G55" s="115">
        <v>6</v>
      </c>
      <c r="H55" s="110" t="s">
        <v>176</v>
      </c>
      <c r="I55" s="110" t="s">
        <v>127</v>
      </c>
      <c r="J55" s="110" t="s">
        <v>47</v>
      </c>
      <c r="K55" s="113">
        <v>2500</v>
      </c>
      <c r="L55" s="132"/>
    </row>
    <row r="56" spans="2:18" s="2" customFormat="1" ht="28.5" customHeight="1" thickBot="1" x14ac:dyDescent="0.3">
      <c r="B56" s="181" t="s">
        <v>113</v>
      </c>
      <c r="C56" s="251" t="s">
        <v>343</v>
      </c>
      <c r="D56" s="125" t="s">
        <v>112</v>
      </c>
      <c r="E56" s="115" t="s">
        <v>393</v>
      </c>
      <c r="F56" s="291">
        <v>45911</v>
      </c>
      <c r="G56" s="115">
        <v>6</v>
      </c>
      <c r="H56" s="120" t="s">
        <v>176</v>
      </c>
      <c r="I56" s="120" t="s">
        <v>127</v>
      </c>
      <c r="J56" s="120" t="s">
        <v>47</v>
      </c>
      <c r="K56" s="122">
        <v>9000</v>
      </c>
      <c r="L56" s="160"/>
    </row>
    <row r="57" spans="2:18" s="2" customFormat="1" ht="28.5" customHeight="1" thickBot="1" x14ac:dyDescent="0.3">
      <c r="B57" s="153">
        <v>10</v>
      </c>
      <c r="C57" s="255" t="s">
        <v>114</v>
      </c>
      <c r="D57" s="155" t="s">
        <v>113</v>
      </c>
      <c r="E57" s="156"/>
      <c r="F57" s="156"/>
      <c r="G57" s="156"/>
      <c r="H57" s="239"/>
      <c r="I57" s="157"/>
      <c r="J57" s="157"/>
      <c r="K57" s="185">
        <f>SUM(K54:K56)</f>
        <v>15000</v>
      </c>
      <c r="L57" s="158"/>
    </row>
    <row r="58" spans="2:18" s="2" customFormat="1" ht="28.5" customHeight="1" x14ac:dyDescent="0.25">
      <c r="B58" s="182" t="s">
        <v>117</v>
      </c>
      <c r="C58" s="252" t="s">
        <v>344</v>
      </c>
      <c r="D58" s="177" t="s">
        <v>113</v>
      </c>
      <c r="E58" s="291">
        <v>45881</v>
      </c>
      <c r="F58" s="291">
        <v>45886</v>
      </c>
      <c r="G58" s="115">
        <v>6</v>
      </c>
      <c r="H58" s="116" t="s">
        <v>176</v>
      </c>
      <c r="I58" s="116" t="s">
        <v>126</v>
      </c>
      <c r="J58" s="116" t="s">
        <v>47</v>
      </c>
      <c r="K58" s="130">
        <v>4000</v>
      </c>
      <c r="L58" s="131"/>
    </row>
    <row r="59" spans="2:18" s="2" customFormat="1" ht="28.5" customHeight="1" x14ac:dyDescent="0.25">
      <c r="B59" s="183" t="s">
        <v>118</v>
      </c>
      <c r="C59" s="250" t="s">
        <v>345</v>
      </c>
      <c r="D59" s="178" t="s">
        <v>117</v>
      </c>
      <c r="E59" s="292">
        <v>45887</v>
      </c>
      <c r="F59" s="292">
        <v>45892</v>
      </c>
      <c r="G59" s="114">
        <v>6</v>
      </c>
      <c r="H59" s="110" t="s">
        <v>176</v>
      </c>
      <c r="I59" s="110" t="s">
        <v>125</v>
      </c>
      <c r="J59" s="110" t="s">
        <v>47</v>
      </c>
      <c r="K59" s="113">
        <v>2600</v>
      </c>
      <c r="L59" s="132"/>
    </row>
    <row r="60" spans="2:18" ht="28.5" customHeight="1" thickBot="1" x14ac:dyDescent="0.3">
      <c r="B60" s="261" t="s">
        <v>119</v>
      </c>
      <c r="C60" s="251" t="s">
        <v>346</v>
      </c>
      <c r="D60" s="241" t="s">
        <v>118</v>
      </c>
      <c r="E60" s="293">
        <v>45893</v>
      </c>
      <c r="F60" s="293">
        <v>45898</v>
      </c>
      <c r="G60" s="119">
        <v>6</v>
      </c>
      <c r="H60" s="120" t="s">
        <v>176</v>
      </c>
      <c r="I60" s="242" t="s">
        <v>125</v>
      </c>
      <c r="J60" s="120" t="s">
        <v>47</v>
      </c>
      <c r="K60" s="122">
        <v>2300</v>
      </c>
      <c r="L60" s="134"/>
      <c r="O60" s="2"/>
      <c r="P60" s="2"/>
      <c r="Q60" s="2"/>
      <c r="R60" s="2"/>
    </row>
    <row r="61" spans="2:18" ht="28.5" customHeight="1" thickBot="1" x14ac:dyDescent="0.3">
      <c r="B61" s="262">
        <v>11</v>
      </c>
      <c r="C61" s="255" t="s">
        <v>172</v>
      </c>
      <c r="D61" s="243" t="s">
        <v>119</v>
      </c>
      <c r="E61" s="171"/>
      <c r="F61" s="171"/>
      <c r="G61" s="171"/>
      <c r="H61" s="172"/>
      <c r="I61" s="244"/>
      <c r="J61" s="172"/>
      <c r="K61" s="187">
        <f>SUM(K58:K60)</f>
        <v>8900</v>
      </c>
      <c r="L61" s="173"/>
      <c r="O61" s="2"/>
      <c r="P61" s="2"/>
      <c r="Q61" s="2"/>
      <c r="R61" s="2"/>
    </row>
    <row r="62" spans="2:18" ht="18" customHeight="1" x14ac:dyDescent="0.25">
      <c r="B62" s="263" t="s">
        <v>173</v>
      </c>
      <c r="C62" s="256" t="s">
        <v>347</v>
      </c>
      <c r="D62" s="245" t="s">
        <v>119</v>
      </c>
      <c r="E62" s="297">
        <v>45899</v>
      </c>
      <c r="F62" s="297">
        <v>45904</v>
      </c>
      <c r="G62" s="168">
        <v>6</v>
      </c>
      <c r="H62" s="127" t="s">
        <v>176</v>
      </c>
      <c r="I62" s="246" t="s">
        <v>127</v>
      </c>
      <c r="J62" s="120" t="s">
        <v>47</v>
      </c>
      <c r="K62" s="169">
        <v>3700</v>
      </c>
      <c r="L62" s="170"/>
      <c r="O62" s="2"/>
      <c r="P62" s="2"/>
      <c r="Q62" s="2"/>
      <c r="R62" s="2"/>
    </row>
    <row r="63" spans="2:18" ht="21" customHeight="1" x14ac:dyDescent="0.25">
      <c r="B63" s="264" t="s">
        <v>174</v>
      </c>
      <c r="C63" s="257" t="s">
        <v>348</v>
      </c>
      <c r="D63" s="245" t="s">
        <v>119</v>
      </c>
      <c r="E63" s="297">
        <v>45899</v>
      </c>
      <c r="F63" s="297">
        <v>45904</v>
      </c>
      <c r="G63" s="168">
        <v>6</v>
      </c>
      <c r="H63" s="111" t="s">
        <v>176</v>
      </c>
      <c r="I63" s="246" t="s">
        <v>127</v>
      </c>
      <c r="J63" s="120" t="s">
        <v>47</v>
      </c>
      <c r="K63" s="126">
        <v>8500</v>
      </c>
      <c r="L63" s="137"/>
      <c r="O63" s="2"/>
      <c r="P63" s="2"/>
      <c r="Q63" s="2"/>
      <c r="R63" s="2"/>
    </row>
    <row r="64" spans="2:18" ht="17.25" customHeight="1" thickBot="1" x14ac:dyDescent="0.3">
      <c r="B64" s="265" t="s">
        <v>175</v>
      </c>
      <c r="C64" s="258" t="s">
        <v>349</v>
      </c>
      <c r="D64" s="245" t="s">
        <v>119</v>
      </c>
      <c r="E64" s="297">
        <v>45899</v>
      </c>
      <c r="F64" s="297">
        <v>45904</v>
      </c>
      <c r="G64" s="168">
        <v>6</v>
      </c>
      <c r="H64" s="125" t="s">
        <v>176</v>
      </c>
      <c r="I64" s="247" t="s">
        <v>127</v>
      </c>
      <c r="J64" s="120" t="s">
        <v>47</v>
      </c>
      <c r="K64" s="138">
        <v>2800</v>
      </c>
      <c r="L64" s="139"/>
      <c r="O64" s="2"/>
      <c r="P64" s="2"/>
      <c r="Q64" s="2"/>
      <c r="R64" s="2"/>
    </row>
    <row r="65" spans="2:18" ht="24" customHeight="1" thickBot="1" x14ac:dyDescent="0.3">
      <c r="B65" s="607"/>
      <c r="C65" s="608"/>
      <c r="D65" s="249" t="s">
        <v>175</v>
      </c>
      <c r="E65" s="248"/>
      <c r="F65" s="248"/>
      <c r="G65" s="248"/>
      <c r="H65" s="248"/>
      <c r="I65" s="248"/>
      <c r="J65" s="248"/>
      <c r="K65" s="189">
        <f>SUM(K62:K64)</f>
        <v>15000</v>
      </c>
      <c r="L65" s="135"/>
      <c r="O65" s="2"/>
      <c r="P65" s="2"/>
      <c r="Q65" s="2"/>
      <c r="R65" s="2"/>
    </row>
    <row r="66" spans="2:18" s="8" customFormat="1" ht="16.2" thickBot="1" x14ac:dyDescent="0.3">
      <c r="B66" s="123"/>
      <c r="C66" s="140"/>
      <c r="D66" s="604" t="s">
        <v>34</v>
      </c>
      <c r="E66" s="605"/>
      <c r="F66" s="605"/>
      <c r="G66" s="606"/>
      <c r="H66" s="606"/>
      <c r="I66" s="606"/>
      <c r="J66" s="606"/>
      <c r="K66" s="233">
        <f>SUM(K14+K22+K29+K37+I71+G69+K45+K49+K53+K57+K61+K65)</f>
        <v>150000</v>
      </c>
      <c r="L66" s="188"/>
      <c r="O66" s="2"/>
      <c r="P66" s="2"/>
      <c r="Q66" s="2"/>
      <c r="R66" s="2"/>
    </row>
    <row r="67" spans="2:18" x14ac:dyDescent="0.25">
      <c r="O67" s="2"/>
      <c r="P67" s="2"/>
      <c r="Q67" s="2"/>
      <c r="R67" s="2"/>
    </row>
    <row r="68" spans="2:18" x14ac:dyDescent="0.25">
      <c r="O68" s="2"/>
      <c r="P68" s="2"/>
      <c r="Q68" s="2"/>
      <c r="R68" s="2"/>
    </row>
    <row r="69" spans="2:18" x14ac:dyDescent="0.25">
      <c r="O69" s="2"/>
      <c r="P69" s="2"/>
      <c r="Q69" s="2"/>
      <c r="R69" s="2"/>
    </row>
    <row r="70" spans="2:18" x14ac:dyDescent="0.25">
      <c r="O70" s="2"/>
      <c r="P70" s="2"/>
      <c r="Q70" s="2"/>
      <c r="R70" s="2"/>
    </row>
    <row r="77" spans="2:18" x14ac:dyDescent="0.25">
      <c r="O77" s="8"/>
      <c r="P77" s="8"/>
      <c r="Q77" s="8"/>
      <c r="R77" s="8"/>
    </row>
    <row r="78" spans="2:18" ht="15" customHeight="1" x14ac:dyDescent="0.25"/>
    <row r="79" spans="2:18" ht="15" customHeight="1" x14ac:dyDescent="0.25"/>
    <row r="80" spans="2:18" ht="15" customHeight="1" x14ac:dyDescent="0.25"/>
    <row r="84" ht="19.5" customHeight="1" x14ac:dyDescent="0.25"/>
    <row r="85" ht="34.5" customHeight="1" x14ac:dyDescent="0.25"/>
    <row r="86" ht="18.75" customHeight="1" x14ac:dyDescent="0.25"/>
  </sheetData>
  <mergeCells count="4">
    <mergeCell ref="D66:J66"/>
    <mergeCell ref="B65:C65"/>
    <mergeCell ref="P33:Q33"/>
    <mergeCell ref="O9:R9"/>
  </mergeCells>
  <phoneticPr fontId="4" type="noConversion"/>
  <printOptions horizontalCentered="1"/>
  <pageMargins left="0.25" right="0.25" top="0.75" bottom="0.75" header="0.3" footer="0.3"/>
  <pageSetup paperSize="9" scale="39" fitToHeight="0" orientation="landscape" r:id="rId1"/>
  <headerFooter alignWithMargins="0">
    <oddFooter>&amp;R14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9E7"/>
    <outlinePr summaryBelow="0"/>
  </sheetPr>
  <dimension ref="B3:J52"/>
  <sheetViews>
    <sheetView showGridLines="0" zoomScale="90" zoomScaleNormal="100" workbookViewId="0">
      <pane ySplit="8" topLeftCell="A23" activePane="bottomLeft" state="frozenSplit"/>
      <selection pane="bottomLeft" activeCell="D40" sqref="D40"/>
    </sheetView>
  </sheetViews>
  <sheetFormatPr defaultRowHeight="13.5" customHeight="1" x14ac:dyDescent="0.25"/>
  <cols>
    <col min="1" max="1" width="3.44140625" customWidth="1"/>
    <col min="2" max="2" width="7.88671875" style="1" customWidth="1"/>
    <col min="3" max="3" width="101.6640625" style="3" customWidth="1"/>
    <col min="4" max="4" width="12.88671875" style="1" customWidth="1"/>
    <col min="5" max="5" width="12.109375" style="1" customWidth="1"/>
    <col min="6" max="6" width="10.88671875" style="1" customWidth="1"/>
    <col min="7" max="7" width="19" customWidth="1"/>
    <col min="8" max="8" width="9.5546875" customWidth="1"/>
    <col min="9" max="9" width="6" customWidth="1"/>
  </cols>
  <sheetData>
    <row r="3" spans="2:10" ht="13.5" customHeight="1" x14ac:dyDescent="0.25">
      <c r="C3" s="191"/>
    </row>
    <row r="6" spans="2:10" ht="13.5" customHeight="1" x14ac:dyDescent="0.3">
      <c r="B6" s="4" t="s">
        <v>49</v>
      </c>
    </row>
    <row r="7" spans="2:10" ht="13.5" customHeight="1" thickBot="1" x14ac:dyDescent="0.3"/>
    <row r="8" spans="2:10" s="14" customFormat="1" ht="26.25" customHeight="1" thickBot="1" x14ac:dyDescent="0.3">
      <c r="B8" s="234" t="s">
        <v>0</v>
      </c>
      <c r="C8" s="235" t="s">
        <v>50</v>
      </c>
      <c r="D8" s="235" t="s">
        <v>2</v>
      </c>
      <c r="E8" s="235" t="s">
        <v>390</v>
      </c>
      <c r="F8" s="235" t="s">
        <v>3</v>
      </c>
      <c r="G8" s="235" t="s">
        <v>4</v>
      </c>
      <c r="H8" s="235" t="s">
        <v>5</v>
      </c>
      <c r="I8" s="236" t="s">
        <v>6</v>
      </c>
    </row>
    <row r="9" spans="2:10" ht="13.5" customHeight="1" x14ac:dyDescent="0.35">
      <c r="B9" s="205" t="s">
        <v>11</v>
      </c>
      <c r="C9" s="202" t="s">
        <v>350</v>
      </c>
      <c r="D9" s="214" t="s">
        <v>11</v>
      </c>
      <c r="E9" s="215">
        <v>4</v>
      </c>
      <c r="F9" s="230" t="s">
        <v>176</v>
      </c>
      <c r="G9" s="214" t="s">
        <v>55</v>
      </c>
      <c r="H9" s="203" t="s">
        <v>47</v>
      </c>
      <c r="I9" s="206" t="s">
        <v>13</v>
      </c>
      <c r="J9" s="204"/>
    </row>
    <row r="10" spans="2:10" ht="13.5" customHeight="1" x14ac:dyDescent="0.35">
      <c r="B10" s="207" t="s">
        <v>14</v>
      </c>
      <c r="C10" s="194" t="s">
        <v>351</v>
      </c>
      <c r="D10" s="197" t="s">
        <v>11</v>
      </c>
      <c r="E10" s="216">
        <v>4</v>
      </c>
      <c r="F10" s="231" t="s">
        <v>176</v>
      </c>
      <c r="G10" s="197" t="s">
        <v>55</v>
      </c>
      <c r="H10" s="195" t="s">
        <v>47</v>
      </c>
      <c r="I10" s="208" t="s">
        <v>13</v>
      </c>
      <c r="J10" s="204"/>
    </row>
    <row r="11" spans="2:10" ht="13.5" customHeight="1" x14ac:dyDescent="0.35">
      <c r="B11" s="207" t="s">
        <v>15</v>
      </c>
      <c r="C11" s="194" t="s">
        <v>352</v>
      </c>
      <c r="D11" s="267" t="s">
        <v>14</v>
      </c>
      <c r="E11" s="197">
        <v>4</v>
      </c>
      <c r="F11" s="231" t="s">
        <v>176</v>
      </c>
      <c r="G11" s="197" t="s">
        <v>55</v>
      </c>
      <c r="H11" s="195" t="s">
        <v>47</v>
      </c>
      <c r="I11" s="209"/>
      <c r="J11" s="204"/>
    </row>
    <row r="12" spans="2:10" ht="13.5" customHeight="1" x14ac:dyDescent="0.25">
      <c r="B12" s="210" t="s">
        <v>7</v>
      </c>
      <c r="C12" s="199" t="s">
        <v>309</v>
      </c>
      <c r="D12" s="197" t="s">
        <v>389</v>
      </c>
      <c r="E12" s="217">
        <v>4</v>
      </c>
      <c r="F12" s="231" t="s">
        <v>176</v>
      </c>
      <c r="G12" s="197" t="s">
        <v>55</v>
      </c>
      <c r="H12" s="195" t="s">
        <v>47</v>
      </c>
      <c r="I12" s="211"/>
      <c r="J12" s="204"/>
    </row>
    <row r="13" spans="2:10" ht="13.5" customHeight="1" x14ac:dyDescent="0.25">
      <c r="B13" s="210" t="s">
        <v>8</v>
      </c>
      <c r="C13" s="199" t="s">
        <v>310</v>
      </c>
      <c r="D13" s="197" t="s">
        <v>14</v>
      </c>
      <c r="E13" s="218">
        <v>4</v>
      </c>
      <c r="F13" s="229" t="s">
        <v>176</v>
      </c>
      <c r="G13" s="197" t="s">
        <v>55</v>
      </c>
      <c r="H13" s="195" t="s">
        <v>47</v>
      </c>
      <c r="I13" s="211"/>
      <c r="J13" s="204"/>
    </row>
    <row r="14" spans="2:10" ht="13.5" customHeight="1" x14ac:dyDescent="0.25">
      <c r="B14" s="210" t="s">
        <v>42</v>
      </c>
      <c r="C14" s="199" t="s">
        <v>353</v>
      </c>
      <c r="D14" s="197" t="s">
        <v>8</v>
      </c>
      <c r="E14" s="218">
        <v>3</v>
      </c>
      <c r="F14" s="229" t="s">
        <v>176</v>
      </c>
      <c r="G14" s="197" t="s">
        <v>55</v>
      </c>
      <c r="H14" s="195" t="s">
        <v>47</v>
      </c>
      <c r="I14" s="212" t="s">
        <v>13</v>
      </c>
      <c r="J14" s="204"/>
    </row>
    <row r="15" spans="2:10" ht="13.5" customHeight="1" x14ac:dyDescent="0.25">
      <c r="B15" s="220" t="s">
        <v>43</v>
      </c>
      <c r="C15" s="199" t="s">
        <v>354</v>
      </c>
      <c r="D15" s="197" t="s">
        <v>8</v>
      </c>
      <c r="E15" s="218">
        <v>2</v>
      </c>
      <c r="F15" s="229" t="s">
        <v>176</v>
      </c>
      <c r="G15" s="197" t="s">
        <v>55</v>
      </c>
      <c r="H15" s="195" t="s">
        <v>47</v>
      </c>
      <c r="I15" s="212" t="s">
        <v>13</v>
      </c>
      <c r="J15" s="204"/>
    </row>
    <row r="16" spans="2:10" ht="13.5" customHeight="1" x14ac:dyDescent="0.25">
      <c r="B16" s="220" t="s">
        <v>64</v>
      </c>
      <c r="C16" s="199" t="s">
        <v>355</v>
      </c>
      <c r="D16" s="197" t="s">
        <v>8</v>
      </c>
      <c r="E16" s="218">
        <v>2</v>
      </c>
      <c r="F16" s="232" t="s">
        <v>46</v>
      </c>
      <c r="G16" s="197" t="s">
        <v>55</v>
      </c>
      <c r="H16" s="195" t="s">
        <v>47</v>
      </c>
      <c r="I16" s="212" t="s">
        <v>13</v>
      </c>
      <c r="J16" s="204"/>
    </row>
    <row r="17" spans="2:10" ht="13.5" customHeight="1" x14ac:dyDescent="0.25">
      <c r="B17" s="221" t="s">
        <v>65</v>
      </c>
      <c r="C17" s="199" t="s">
        <v>356</v>
      </c>
      <c r="D17" s="197" t="s">
        <v>8</v>
      </c>
      <c r="E17" s="216">
        <v>3</v>
      </c>
      <c r="F17" s="232" t="s">
        <v>46</v>
      </c>
      <c r="G17" s="197" t="s">
        <v>55</v>
      </c>
      <c r="H17" s="195" t="s">
        <v>47</v>
      </c>
      <c r="I17" s="212" t="s">
        <v>13</v>
      </c>
      <c r="J17" s="204"/>
    </row>
    <row r="18" spans="2:10" ht="13.5" customHeight="1" x14ac:dyDescent="0.25">
      <c r="B18" s="220" t="s">
        <v>170</v>
      </c>
      <c r="C18" s="199" t="s">
        <v>357</v>
      </c>
      <c r="D18" s="267" t="s">
        <v>8</v>
      </c>
      <c r="E18" s="196">
        <v>2</v>
      </c>
      <c r="F18" s="227" t="s">
        <v>176</v>
      </c>
      <c r="G18" s="197" t="s">
        <v>55</v>
      </c>
      <c r="H18" s="195" t="s">
        <v>47</v>
      </c>
      <c r="I18" s="212" t="s">
        <v>13</v>
      </c>
      <c r="J18" s="204"/>
    </row>
    <row r="19" spans="2:10" ht="13.5" customHeight="1" x14ac:dyDescent="0.25">
      <c r="B19" s="220" t="s">
        <v>16</v>
      </c>
      <c r="C19" s="199" t="s">
        <v>358</v>
      </c>
      <c r="D19" s="197" t="s">
        <v>15</v>
      </c>
      <c r="E19" s="196">
        <v>7</v>
      </c>
      <c r="F19" s="228" t="s">
        <v>46</v>
      </c>
      <c r="G19" s="196" t="s">
        <v>66</v>
      </c>
      <c r="H19" s="195" t="s">
        <v>47</v>
      </c>
      <c r="I19" s="212" t="s">
        <v>13</v>
      </c>
      <c r="J19" s="204"/>
    </row>
    <row r="20" spans="2:10" ht="13.5" customHeight="1" x14ac:dyDescent="0.25">
      <c r="B20" s="220" t="s">
        <v>17</v>
      </c>
      <c r="C20" s="199" t="s">
        <v>360</v>
      </c>
      <c r="D20" s="268" t="s">
        <v>16</v>
      </c>
      <c r="E20" s="196">
        <v>7</v>
      </c>
      <c r="F20" s="229" t="s">
        <v>46</v>
      </c>
      <c r="G20" s="196" t="s">
        <v>66</v>
      </c>
      <c r="H20" s="195" t="s">
        <v>47</v>
      </c>
      <c r="I20" s="212" t="s">
        <v>13</v>
      </c>
      <c r="J20" s="204"/>
    </row>
    <row r="21" spans="2:10" ht="13.5" customHeight="1" x14ac:dyDescent="0.25">
      <c r="B21" s="220" t="s">
        <v>10</v>
      </c>
      <c r="C21" s="199" t="s">
        <v>359</v>
      </c>
      <c r="D21" s="214" t="s">
        <v>17</v>
      </c>
      <c r="E21" s="196">
        <v>10</v>
      </c>
      <c r="F21" s="228" t="s">
        <v>176</v>
      </c>
      <c r="G21" s="196" t="s">
        <v>73</v>
      </c>
      <c r="H21" s="193" t="s">
        <v>47</v>
      </c>
      <c r="I21" s="212" t="s">
        <v>13</v>
      </c>
      <c r="J21" s="204"/>
    </row>
    <row r="22" spans="2:10" ht="13.5" customHeight="1" x14ac:dyDescent="0.25">
      <c r="B22" s="221" t="s">
        <v>33</v>
      </c>
      <c r="C22" s="199" t="s">
        <v>361</v>
      </c>
      <c r="D22" s="197" t="s">
        <v>10</v>
      </c>
      <c r="E22" s="196">
        <v>10</v>
      </c>
      <c r="F22" s="228" t="s">
        <v>176</v>
      </c>
      <c r="G22" s="196" t="s">
        <v>73</v>
      </c>
      <c r="H22" s="193" t="s">
        <v>47</v>
      </c>
      <c r="I22" s="212" t="s">
        <v>13</v>
      </c>
      <c r="J22" s="204"/>
    </row>
    <row r="23" spans="2:10" ht="13.5" customHeight="1" x14ac:dyDescent="0.25">
      <c r="B23" s="221" t="s">
        <v>18</v>
      </c>
      <c r="C23" s="200" t="s">
        <v>362</v>
      </c>
      <c r="D23" s="197" t="s">
        <v>33</v>
      </c>
      <c r="E23" s="197">
        <v>3</v>
      </c>
      <c r="F23" s="228" t="s">
        <v>176</v>
      </c>
      <c r="G23" s="196" t="s">
        <v>121</v>
      </c>
      <c r="H23" s="195" t="s">
        <v>47</v>
      </c>
      <c r="I23" s="212" t="s">
        <v>13</v>
      </c>
      <c r="J23" s="204"/>
    </row>
    <row r="24" spans="2:10" ht="13.5" customHeight="1" x14ac:dyDescent="0.25">
      <c r="B24" s="220" t="s">
        <v>19</v>
      </c>
      <c r="C24" s="199" t="s">
        <v>363</v>
      </c>
      <c r="D24" s="196" t="s">
        <v>18</v>
      </c>
      <c r="E24" s="196">
        <v>3</v>
      </c>
      <c r="F24" s="228" t="s">
        <v>176</v>
      </c>
      <c r="G24" s="196" t="s">
        <v>121</v>
      </c>
      <c r="H24" s="195" t="s">
        <v>47</v>
      </c>
      <c r="I24" s="212" t="s">
        <v>13</v>
      </c>
      <c r="J24" s="204"/>
    </row>
    <row r="25" spans="2:10" ht="13.5" customHeight="1" x14ac:dyDescent="0.25">
      <c r="B25" s="220" t="s">
        <v>20</v>
      </c>
      <c r="C25" s="199" t="s">
        <v>364</v>
      </c>
      <c r="D25" s="196" t="s">
        <v>19</v>
      </c>
      <c r="E25" s="196">
        <v>3</v>
      </c>
      <c r="F25" s="228" t="s">
        <v>176</v>
      </c>
      <c r="G25" s="196" t="s">
        <v>121</v>
      </c>
      <c r="H25" s="195" t="s">
        <v>47</v>
      </c>
      <c r="I25" s="212" t="s">
        <v>13</v>
      </c>
      <c r="J25" s="204"/>
    </row>
    <row r="26" spans="2:10" ht="13.5" customHeight="1" x14ac:dyDescent="0.25">
      <c r="B26" s="221" t="s">
        <v>89</v>
      </c>
      <c r="C26" s="199" t="s">
        <v>332</v>
      </c>
      <c r="D26" s="197" t="s">
        <v>20</v>
      </c>
      <c r="E26" s="197">
        <v>2</v>
      </c>
      <c r="F26" s="228" t="s">
        <v>46</v>
      </c>
      <c r="G26" s="197" t="s">
        <v>122</v>
      </c>
      <c r="H26" s="195" t="s">
        <v>47</v>
      </c>
      <c r="I26" s="212" t="s">
        <v>13</v>
      </c>
      <c r="J26" s="204"/>
    </row>
    <row r="27" spans="2:10" ht="13.5" customHeight="1" x14ac:dyDescent="0.25">
      <c r="B27" s="221" t="s">
        <v>365</v>
      </c>
      <c r="C27" s="199" t="s">
        <v>366</v>
      </c>
      <c r="D27" s="197" t="s">
        <v>89</v>
      </c>
      <c r="E27" s="197">
        <v>2</v>
      </c>
      <c r="F27" s="228" t="s">
        <v>46</v>
      </c>
      <c r="G27" s="197" t="s">
        <v>122</v>
      </c>
      <c r="H27" s="195" t="s">
        <v>47</v>
      </c>
      <c r="I27" s="212" t="s">
        <v>13</v>
      </c>
      <c r="J27" s="204"/>
    </row>
    <row r="28" spans="2:10" ht="13.5" customHeight="1" x14ac:dyDescent="0.25">
      <c r="B28" s="221" t="s">
        <v>367</v>
      </c>
      <c r="C28" s="199" t="s">
        <v>368</v>
      </c>
      <c r="D28" s="197" t="s">
        <v>365</v>
      </c>
      <c r="E28" s="197">
        <v>2</v>
      </c>
      <c r="F28" s="228" t="s">
        <v>46</v>
      </c>
      <c r="G28" s="197" t="s">
        <v>122</v>
      </c>
      <c r="H28" s="195" t="s">
        <v>47</v>
      </c>
      <c r="I28" s="212" t="s">
        <v>13</v>
      </c>
      <c r="J28" s="204"/>
    </row>
    <row r="29" spans="2:10" ht="13.5" customHeight="1" x14ac:dyDescent="0.25">
      <c r="B29" s="221" t="s">
        <v>369</v>
      </c>
      <c r="C29" s="201" t="s">
        <v>370</v>
      </c>
      <c r="D29" s="197" t="s">
        <v>367</v>
      </c>
      <c r="E29" s="197">
        <v>4</v>
      </c>
      <c r="F29" s="228" t="s">
        <v>46</v>
      </c>
      <c r="G29" s="197" t="s">
        <v>124</v>
      </c>
      <c r="H29" s="195" t="s">
        <v>47</v>
      </c>
      <c r="I29" s="212" t="s">
        <v>13</v>
      </c>
      <c r="J29" s="204"/>
    </row>
    <row r="30" spans="2:10" ht="13.5" customHeight="1" x14ac:dyDescent="0.25">
      <c r="B30" s="221" t="s">
        <v>371</v>
      </c>
      <c r="C30" s="199" t="s">
        <v>372</v>
      </c>
      <c r="D30" s="197" t="s">
        <v>369</v>
      </c>
      <c r="E30" s="197">
        <v>6</v>
      </c>
      <c r="F30" s="228" t="s">
        <v>176</v>
      </c>
      <c r="G30" s="197" t="s">
        <v>125</v>
      </c>
      <c r="H30" s="195" t="s">
        <v>47</v>
      </c>
      <c r="I30" s="212" t="s">
        <v>13</v>
      </c>
      <c r="J30" s="204"/>
    </row>
    <row r="31" spans="2:10" ht="13.5" customHeight="1" x14ac:dyDescent="0.25">
      <c r="B31" s="221" t="s">
        <v>373</v>
      </c>
      <c r="C31" s="199" t="s">
        <v>374</v>
      </c>
      <c r="D31" s="197" t="s">
        <v>371</v>
      </c>
      <c r="E31" s="197">
        <v>6</v>
      </c>
      <c r="F31" s="228" t="s">
        <v>176</v>
      </c>
      <c r="G31" s="197" t="s">
        <v>127</v>
      </c>
      <c r="H31" s="195" t="s">
        <v>47</v>
      </c>
      <c r="I31" s="212" t="s">
        <v>13</v>
      </c>
      <c r="J31" s="204"/>
    </row>
    <row r="32" spans="2:10" ht="23.25" customHeight="1" x14ac:dyDescent="0.25">
      <c r="B32" s="221" t="s">
        <v>375</v>
      </c>
      <c r="C32" s="199" t="s">
        <v>376</v>
      </c>
      <c r="D32" s="197" t="s">
        <v>373</v>
      </c>
      <c r="E32" s="197">
        <v>6</v>
      </c>
      <c r="F32" s="228" t="s">
        <v>176</v>
      </c>
      <c r="G32" s="197" t="s">
        <v>127</v>
      </c>
      <c r="H32" s="195" t="s">
        <v>47</v>
      </c>
      <c r="I32" s="212" t="s">
        <v>13</v>
      </c>
      <c r="J32" s="204"/>
    </row>
    <row r="33" spans="2:10" ht="13.5" customHeight="1" x14ac:dyDescent="0.25">
      <c r="B33" s="221" t="s">
        <v>377</v>
      </c>
      <c r="C33" s="199" t="s">
        <v>378</v>
      </c>
      <c r="D33" s="197" t="s">
        <v>375</v>
      </c>
      <c r="E33" s="197">
        <v>6</v>
      </c>
      <c r="F33" s="228" t="s">
        <v>176</v>
      </c>
      <c r="G33" s="197" t="s">
        <v>127</v>
      </c>
      <c r="H33" s="195" t="s">
        <v>47</v>
      </c>
      <c r="I33" s="212" t="s">
        <v>13</v>
      </c>
      <c r="J33" s="204"/>
    </row>
    <row r="34" spans="2:10" ht="13.5" customHeight="1" x14ac:dyDescent="0.25">
      <c r="B34" s="221" t="s">
        <v>379</v>
      </c>
      <c r="C34" s="199" t="s">
        <v>380</v>
      </c>
      <c r="D34" s="197" t="s">
        <v>377</v>
      </c>
      <c r="E34" s="197">
        <v>6</v>
      </c>
      <c r="F34" s="228" t="s">
        <v>176</v>
      </c>
      <c r="G34" s="197" t="s">
        <v>127</v>
      </c>
      <c r="H34" s="195" t="s">
        <v>47</v>
      </c>
      <c r="I34" s="212" t="s">
        <v>13</v>
      </c>
      <c r="J34" s="204"/>
    </row>
    <row r="35" spans="2:10" ht="13.5" customHeight="1" x14ac:dyDescent="0.25">
      <c r="B35" s="221" t="s">
        <v>381</v>
      </c>
      <c r="C35" s="199" t="s">
        <v>344</v>
      </c>
      <c r="D35" s="197" t="s">
        <v>379</v>
      </c>
      <c r="E35" s="197">
        <v>4</v>
      </c>
      <c r="F35" s="228" t="s">
        <v>176</v>
      </c>
      <c r="G35" s="197" t="s">
        <v>126</v>
      </c>
      <c r="H35" s="195" t="s">
        <v>47</v>
      </c>
      <c r="I35" s="212" t="s">
        <v>13</v>
      </c>
      <c r="J35" s="204"/>
    </row>
    <row r="36" spans="2:10" ht="13.5" customHeight="1" x14ac:dyDescent="0.25">
      <c r="B36" s="221" t="s">
        <v>382</v>
      </c>
      <c r="C36" s="199" t="s">
        <v>383</v>
      </c>
      <c r="D36" s="197" t="s">
        <v>381</v>
      </c>
      <c r="E36" s="197">
        <v>4</v>
      </c>
      <c r="F36" s="228" t="s">
        <v>176</v>
      </c>
      <c r="G36" s="197" t="s">
        <v>125</v>
      </c>
      <c r="H36" s="195" t="s">
        <v>47</v>
      </c>
      <c r="I36" s="212" t="s">
        <v>13</v>
      </c>
      <c r="J36" s="204"/>
    </row>
    <row r="37" spans="2:10" ht="13.5" customHeight="1" x14ac:dyDescent="0.25">
      <c r="B37" s="222" t="s">
        <v>384</v>
      </c>
      <c r="C37" s="199" t="s">
        <v>346</v>
      </c>
      <c r="D37" s="198" t="s">
        <v>382</v>
      </c>
      <c r="E37" s="197">
        <v>4</v>
      </c>
      <c r="F37" s="228" t="s">
        <v>176</v>
      </c>
      <c r="G37" s="198" t="s">
        <v>125</v>
      </c>
      <c r="H37" s="195" t="s">
        <v>47</v>
      </c>
      <c r="I37" s="212" t="s">
        <v>13</v>
      </c>
      <c r="J37" s="204"/>
    </row>
    <row r="38" spans="2:10" ht="13.5" customHeight="1" x14ac:dyDescent="0.25">
      <c r="B38" s="222" t="s">
        <v>173</v>
      </c>
      <c r="C38" s="199" t="s">
        <v>385</v>
      </c>
      <c r="D38" s="198" t="s">
        <v>384</v>
      </c>
      <c r="E38" s="197">
        <v>4</v>
      </c>
      <c r="F38" s="228" t="s">
        <v>176</v>
      </c>
      <c r="G38" s="198" t="s">
        <v>127</v>
      </c>
      <c r="H38" s="195" t="s">
        <v>47</v>
      </c>
      <c r="I38" s="212" t="s">
        <v>13</v>
      </c>
      <c r="J38" s="204"/>
    </row>
    <row r="39" spans="2:10" ht="13.5" customHeight="1" x14ac:dyDescent="0.25">
      <c r="B39" s="222" t="s">
        <v>386</v>
      </c>
      <c r="C39" s="199" t="s">
        <v>348</v>
      </c>
      <c r="D39" s="198" t="s">
        <v>173</v>
      </c>
      <c r="E39" s="197">
        <v>4</v>
      </c>
      <c r="F39" s="228" t="s">
        <v>176</v>
      </c>
      <c r="G39" s="198" t="s">
        <v>127</v>
      </c>
      <c r="H39" s="195" t="s">
        <v>47</v>
      </c>
      <c r="I39" s="212" t="s">
        <v>13</v>
      </c>
      <c r="J39" s="204"/>
    </row>
    <row r="40" spans="2:10" ht="13.5" customHeight="1" thickBot="1" x14ac:dyDescent="0.3">
      <c r="B40" s="223" t="s">
        <v>387</v>
      </c>
      <c r="C40" s="213" t="s">
        <v>388</v>
      </c>
      <c r="D40" s="219" t="s">
        <v>386</v>
      </c>
      <c r="E40" s="224">
        <v>4</v>
      </c>
      <c r="F40" s="228" t="s">
        <v>176</v>
      </c>
      <c r="G40" s="198" t="s">
        <v>127</v>
      </c>
      <c r="H40" s="225" t="s">
        <v>47</v>
      </c>
      <c r="I40" s="226" t="s">
        <v>13</v>
      </c>
      <c r="J40" s="204"/>
    </row>
    <row r="41" spans="2:10" ht="13.5" customHeight="1" x14ac:dyDescent="0.25">
      <c r="J41" s="204"/>
    </row>
    <row r="42" spans="2:10" ht="13.5" customHeight="1" x14ac:dyDescent="0.25">
      <c r="J42" s="204"/>
    </row>
    <row r="43" spans="2:10" ht="13.5" customHeight="1" x14ac:dyDescent="0.25">
      <c r="J43" s="204"/>
    </row>
    <row r="44" spans="2:10" ht="13.5" customHeight="1" x14ac:dyDescent="0.25">
      <c r="J44" s="204"/>
    </row>
    <row r="45" spans="2:10" ht="13.5" customHeight="1" x14ac:dyDescent="0.25">
      <c r="J45" s="204"/>
    </row>
    <row r="46" spans="2:10" ht="13.5" customHeight="1" x14ac:dyDescent="0.25">
      <c r="J46" s="204"/>
    </row>
    <row r="47" spans="2:10" ht="13.5" customHeight="1" x14ac:dyDescent="0.25">
      <c r="J47" s="204"/>
    </row>
    <row r="48" spans="2:10" ht="13.5" customHeight="1" x14ac:dyDescent="0.25">
      <c r="J48" s="204"/>
    </row>
    <row r="49" spans="10:10" ht="13.5" customHeight="1" x14ac:dyDescent="0.25">
      <c r="J49" s="204"/>
    </row>
    <row r="50" spans="10:10" ht="13.5" customHeight="1" x14ac:dyDescent="0.25">
      <c r="J50" s="204"/>
    </row>
    <row r="51" spans="10:10" ht="13.5" customHeight="1" x14ac:dyDescent="0.25">
      <c r="J51" s="204"/>
    </row>
    <row r="52" spans="10:10" ht="13.5" customHeight="1" x14ac:dyDescent="0.25">
      <c r="J52" s="204"/>
    </row>
  </sheetData>
  <phoneticPr fontId="0" type="noConversion"/>
  <printOptions horizontalCentered="1"/>
  <pageMargins left="0.39370078740157483" right="0.39370078740157483" top="0.39370078740157483" bottom="0.39370078740157483" header="0.39370078740157483" footer="0.39370078740157483"/>
  <pageSetup paperSize="9" scale="65" orientation="landscape" r:id="rId1"/>
  <headerFooter alignWithMargins="0">
    <oddFooter>&amp;R15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DF98A-79BA-4A78-9F99-7294E13F5628}">
  <dimension ref="A1:M12"/>
  <sheetViews>
    <sheetView topLeftCell="A2" workbookViewId="0">
      <selection activeCell="C18" sqref="C18"/>
    </sheetView>
  </sheetViews>
  <sheetFormatPr defaultRowHeight="13.2" x14ac:dyDescent="0.25"/>
  <cols>
    <col min="1" max="1" width="15.44140625" customWidth="1"/>
    <col min="2" max="2" width="16.6640625" customWidth="1"/>
    <col min="3" max="3" width="21.44140625" customWidth="1"/>
    <col min="4" max="4" width="18.109375" customWidth="1"/>
    <col min="5" max="5" width="17" customWidth="1"/>
    <col min="6" max="6" width="18.88671875" customWidth="1"/>
    <col min="7" max="7" width="20.109375" customWidth="1"/>
    <col min="8" max="9" width="14.5546875" customWidth="1"/>
    <col min="10" max="10" width="17" customWidth="1"/>
    <col min="11" max="11" width="13.33203125" customWidth="1"/>
    <col min="12" max="12" width="15.33203125" customWidth="1"/>
    <col min="13" max="13" width="14.109375" customWidth="1"/>
  </cols>
  <sheetData>
    <row r="1" spans="1:13" ht="27.6" x14ac:dyDescent="0.25">
      <c r="A1" s="282" t="s">
        <v>186</v>
      </c>
      <c r="B1" s="283" t="s">
        <v>187</v>
      </c>
      <c r="C1" s="282" t="s">
        <v>188</v>
      </c>
      <c r="D1" s="284">
        <v>45901</v>
      </c>
      <c r="E1" s="283"/>
      <c r="F1" s="283"/>
      <c r="G1" s="283"/>
      <c r="H1" s="283"/>
      <c r="I1" s="283"/>
      <c r="J1" s="283"/>
      <c r="K1" s="283"/>
      <c r="L1" s="283"/>
      <c r="M1" s="283"/>
    </row>
    <row r="2" spans="1:13" ht="14.4" thickBot="1" x14ac:dyDescent="0.3">
      <c r="A2" s="283"/>
      <c r="B2" s="283"/>
      <c r="C2" s="283"/>
      <c r="D2" s="283"/>
      <c r="E2" s="283"/>
      <c r="F2" s="283"/>
      <c r="G2" s="283"/>
      <c r="H2" s="283"/>
      <c r="I2" s="283"/>
      <c r="J2" s="283"/>
      <c r="K2" s="283"/>
      <c r="L2" s="283"/>
      <c r="M2" s="283"/>
    </row>
    <row r="3" spans="1:13" ht="14.4" thickBot="1" x14ac:dyDescent="0.35">
      <c r="A3" s="614" t="s">
        <v>189</v>
      </c>
      <c r="B3" s="615"/>
      <c r="C3" s="615"/>
      <c r="D3" s="615"/>
      <c r="E3" s="615"/>
      <c r="F3" s="615"/>
      <c r="G3" s="615"/>
      <c r="H3" s="616"/>
      <c r="I3" s="617" t="s">
        <v>190</v>
      </c>
      <c r="J3" s="618"/>
      <c r="K3" s="618"/>
      <c r="L3" s="618"/>
      <c r="M3" s="619"/>
    </row>
    <row r="4" spans="1:13" ht="27.6" x14ac:dyDescent="0.25">
      <c r="A4" s="285" t="s">
        <v>191</v>
      </c>
      <c r="B4" s="285" t="s">
        <v>192</v>
      </c>
      <c r="C4" s="285" t="s">
        <v>193</v>
      </c>
      <c r="D4" s="286" t="s">
        <v>194</v>
      </c>
      <c r="E4" s="286" t="s">
        <v>195</v>
      </c>
      <c r="F4" s="286" t="s">
        <v>196</v>
      </c>
      <c r="G4" s="286" t="s">
        <v>197</v>
      </c>
      <c r="H4" s="286" t="s">
        <v>198</v>
      </c>
      <c r="I4" s="286" t="s">
        <v>199</v>
      </c>
      <c r="J4" s="286" t="s">
        <v>200</v>
      </c>
      <c r="K4" s="286" t="s">
        <v>201</v>
      </c>
      <c r="L4" s="286" t="s">
        <v>202</v>
      </c>
      <c r="M4" s="286" t="s">
        <v>203</v>
      </c>
    </row>
    <row r="5" spans="1:13" ht="56.25" customHeight="1" x14ac:dyDescent="0.25">
      <c r="A5" s="287" t="s">
        <v>204</v>
      </c>
      <c r="B5" s="288" t="s">
        <v>205</v>
      </c>
      <c r="C5" s="288" t="s">
        <v>206</v>
      </c>
      <c r="D5" s="288" t="s">
        <v>207</v>
      </c>
      <c r="E5" s="288" t="s">
        <v>208</v>
      </c>
      <c r="F5" s="288" t="s">
        <v>209</v>
      </c>
      <c r="G5" s="288" t="s">
        <v>210</v>
      </c>
      <c r="H5" s="288" t="s">
        <v>211</v>
      </c>
      <c r="I5" s="288" t="s">
        <v>212</v>
      </c>
      <c r="J5" s="288" t="s">
        <v>213</v>
      </c>
      <c r="K5" s="288" t="s">
        <v>214</v>
      </c>
      <c r="L5" s="288" t="s">
        <v>215</v>
      </c>
      <c r="M5" s="288" t="s">
        <v>216</v>
      </c>
    </row>
    <row r="6" spans="1:13" ht="50.25" customHeight="1" x14ac:dyDescent="0.25">
      <c r="A6" s="287" t="s">
        <v>217</v>
      </c>
      <c r="B6" s="288" t="s">
        <v>218</v>
      </c>
      <c r="C6" s="288" t="s">
        <v>219</v>
      </c>
      <c r="D6" s="288" t="s">
        <v>220</v>
      </c>
      <c r="E6" s="288" t="s">
        <v>221</v>
      </c>
      <c r="F6" s="288" t="s">
        <v>222</v>
      </c>
      <c r="G6" s="288" t="s">
        <v>223</v>
      </c>
      <c r="H6" s="288" t="s">
        <v>224</v>
      </c>
      <c r="I6" s="288" t="s">
        <v>225</v>
      </c>
      <c r="J6" s="288" t="s">
        <v>226</v>
      </c>
      <c r="K6" s="288" t="s">
        <v>227</v>
      </c>
      <c r="L6" s="288" t="s">
        <v>228</v>
      </c>
      <c r="M6" s="288" t="s">
        <v>229</v>
      </c>
    </row>
    <row r="7" spans="1:13" ht="50.25" customHeight="1" x14ac:dyDescent="0.25">
      <c r="A7" s="287" t="s">
        <v>230</v>
      </c>
      <c r="B7" s="288" t="s">
        <v>231</v>
      </c>
      <c r="C7" s="288" t="s">
        <v>232</v>
      </c>
      <c r="D7" s="288" t="s">
        <v>233</v>
      </c>
      <c r="E7" s="288" t="s">
        <v>234</v>
      </c>
      <c r="F7" s="288" t="s">
        <v>235</v>
      </c>
      <c r="G7" s="288" t="s">
        <v>236</v>
      </c>
      <c r="H7" s="288" t="s">
        <v>237</v>
      </c>
      <c r="I7" s="288" t="s">
        <v>238</v>
      </c>
      <c r="J7" s="288" t="s">
        <v>239</v>
      </c>
      <c r="K7" s="288" t="s">
        <v>240</v>
      </c>
      <c r="L7" s="288" t="s">
        <v>241</v>
      </c>
      <c r="M7" s="288" t="s">
        <v>242</v>
      </c>
    </row>
    <row r="8" spans="1:13" ht="50.25" customHeight="1" x14ac:dyDescent="0.25">
      <c r="A8" s="287" t="s">
        <v>243</v>
      </c>
      <c r="B8" s="288" t="s">
        <v>244</v>
      </c>
      <c r="C8" s="288" t="s">
        <v>245</v>
      </c>
      <c r="D8" s="288" t="s">
        <v>246</v>
      </c>
      <c r="E8" s="288" t="s">
        <v>247</v>
      </c>
      <c r="F8" s="288" t="s">
        <v>248</v>
      </c>
      <c r="G8" s="288" t="s">
        <v>249</v>
      </c>
      <c r="H8" s="288" t="s">
        <v>250</v>
      </c>
      <c r="I8" s="288" t="s">
        <v>251</v>
      </c>
      <c r="J8" s="288" t="s">
        <v>252</v>
      </c>
      <c r="K8" s="288" t="s">
        <v>227</v>
      </c>
      <c r="L8" s="288" t="s">
        <v>253</v>
      </c>
      <c r="M8" s="288" t="s">
        <v>254</v>
      </c>
    </row>
    <row r="9" spans="1:13" ht="58.5" customHeight="1" x14ac:dyDescent="0.25">
      <c r="A9" s="287" t="s">
        <v>255</v>
      </c>
      <c r="B9" s="288" t="s">
        <v>256</v>
      </c>
      <c r="C9" s="288" t="s">
        <v>257</v>
      </c>
      <c r="D9" s="288" t="s">
        <v>258</v>
      </c>
      <c r="E9" s="288" t="s">
        <v>259</v>
      </c>
      <c r="F9" s="288" t="s">
        <v>260</v>
      </c>
      <c r="G9" s="288" t="s">
        <v>261</v>
      </c>
      <c r="H9" s="288" t="s">
        <v>262</v>
      </c>
      <c r="I9" s="288" t="s">
        <v>263</v>
      </c>
      <c r="J9" s="288" t="s">
        <v>264</v>
      </c>
      <c r="K9" s="288" t="s">
        <v>265</v>
      </c>
      <c r="L9" s="288" t="s">
        <v>266</v>
      </c>
      <c r="M9" s="288" t="s">
        <v>267</v>
      </c>
    </row>
    <row r="10" spans="1:13" ht="52.5" customHeight="1" x14ac:dyDescent="0.25">
      <c r="A10" s="287" t="s">
        <v>268</v>
      </c>
      <c r="B10" s="288" t="s">
        <v>269</v>
      </c>
      <c r="C10" s="288" t="s">
        <v>270</v>
      </c>
      <c r="D10" s="288" t="s">
        <v>271</v>
      </c>
      <c r="E10" s="288" t="s">
        <v>272</v>
      </c>
      <c r="F10" s="288" t="s">
        <v>273</v>
      </c>
      <c r="G10" s="288" t="s">
        <v>274</v>
      </c>
      <c r="H10" s="288" t="s">
        <v>275</v>
      </c>
      <c r="I10" s="288" t="s">
        <v>276</v>
      </c>
      <c r="J10" s="288" t="s">
        <v>277</v>
      </c>
      <c r="K10" s="288" t="s">
        <v>278</v>
      </c>
      <c r="L10" s="288" t="s">
        <v>279</v>
      </c>
      <c r="M10" s="288" t="s">
        <v>280</v>
      </c>
    </row>
    <row r="11" spans="1:13" ht="51.75" customHeight="1" x14ac:dyDescent="0.25">
      <c r="A11" s="287" t="s">
        <v>281</v>
      </c>
      <c r="B11" s="288" t="s">
        <v>282</v>
      </c>
      <c r="C11" s="288" t="s">
        <v>283</v>
      </c>
      <c r="D11" s="288" t="s">
        <v>284</v>
      </c>
      <c r="E11" s="288" t="s">
        <v>285</v>
      </c>
      <c r="F11" s="288" t="s">
        <v>286</v>
      </c>
      <c r="G11" s="288" t="s">
        <v>287</v>
      </c>
      <c r="H11" s="288" t="s">
        <v>288</v>
      </c>
      <c r="I11" s="288" t="s">
        <v>289</v>
      </c>
      <c r="J11" s="288" t="s">
        <v>290</v>
      </c>
      <c r="K11" s="288" t="s">
        <v>291</v>
      </c>
      <c r="L11" s="288" t="s">
        <v>292</v>
      </c>
      <c r="M11" s="288" t="s">
        <v>293</v>
      </c>
    </row>
    <row r="12" spans="1:13" ht="50.25" customHeight="1" x14ac:dyDescent="0.25">
      <c r="A12" s="287" t="s">
        <v>294</v>
      </c>
      <c r="B12" s="288" t="s">
        <v>295</v>
      </c>
      <c r="C12" s="288" t="s">
        <v>296</v>
      </c>
      <c r="D12" s="288" t="s">
        <v>297</v>
      </c>
      <c r="E12" s="288" t="s">
        <v>298</v>
      </c>
      <c r="F12" s="288" t="s">
        <v>299</v>
      </c>
      <c r="G12" s="288" t="s">
        <v>300</v>
      </c>
      <c r="H12" s="288" t="s">
        <v>301</v>
      </c>
      <c r="I12" s="288" t="s">
        <v>302</v>
      </c>
      <c r="J12" s="288" t="s">
        <v>303</v>
      </c>
      <c r="K12" s="288" t="s">
        <v>304</v>
      </c>
      <c r="L12" s="288" t="s">
        <v>253</v>
      </c>
      <c r="M12" s="288" t="s">
        <v>305</v>
      </c>
    </row>
  </sheetData>
  <mergeCells count="2">
    <mergeCell ref="A3:H3"/>
    <mergeCell ref="I3:M3"/>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A28D-124F-41D6-A1C5-581855FD2158}">
  <dimension ref="A1:DB30"/>
  <sheetViews>
    <sheetView topLeftCell="AW1" zoomScale="49" zoomScaleNormal="98" workbookViewId="0">
      <selection activeCell="A5" sqref="A5:D29"/>
    </sheetView>
  </sheetViews>
  <sheetFormatPr defaultRowHeight="13.2" x14ac:dyDescent="0.25"/>
  <cols>
    <col min="1" max="4" width="30.77734375" customWidth="1"/>
    <col min="5" max="5" width="1.5546875" customWidth="1"/>
    <col min="6" max="21" width="4.88671875" customWidth="1"/>
  </cols>
  <sheetData>
    <row r="1" spans="1:106" ht="22.8" x14ac:dyDescent="0.4">
      <c r="A1" s="301" t="s">
        <v>411</v>
      </c>
      <c r="B1" s="301"/>
      <c r="C1" s="302"/>
      <c r="D1" s="302"/>
      <c r="E1" s="302"/>
      <c r="F1" s="302"/>
      <c r="G1" s="302"/>
      <c r="H1" s="302"/>
      <c r="I1" s="302"/>
      <c r="J1" s="302"/>
      <c r="K1" s="302"/>
      <c r="L1" s="302"/>
      <c r="M1" s="302"/>
      <c r="N1" s="302"/>
      <c r="O1" s="302"/>
      <c r="P1" s="302"/>
      <c r="Q1" s="302"/>
      <c r="R1" s="302"/>
      <c r="S1" s="302"/>
      <c r="T1" s="302"/>
      <c r="U1" s="302"/>
      <c r="V1" s="302"/>
      <c r="W1" s="302"/>
      <c r="X1" s="302"/>
      <c r="Z1" s="302"/>
      <c r="AA1" s="301" t="s">
        <v>412</v>
      </c>
      <c r="AB1" s="302"/>
      <c r="AC1" s="302"/>
      <c r="AD1" s="302"/>
      <c r="AE1" s="302"/>
      <c r="AF1" s="302"/>
      <c r="AG1" s="302"/>
      <c r="AH1" s="302"/>
      <c r="AI1" s="302"/>
      <c r="AJ1" s="302"/>
      <c r="AK1" s="302"/>
      <c r="AL1" s="302"/>
      <c r="AM1" s="302"/>
      <c r="AN1" s="302"/>
    </row>
    <row r="2" spans="1:106" x14ac:dyDescent="0.25">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3" t="s">
        <v>413</v>
      </c>
      <c r="AC2" s="302"/>
      <c r="AD2" s="302"/>
      <c r="AE2" s="302"/>
      <c r="AF2" s="302"/>
      <c r="AG2" s="302"/>
      <c r="AH2" s="302"/>
      <c r="AI2" s="302"/>
      <c r="AJ2" s="302"/>
      <c r="AK2" s="302"/>
      <c r="AL2" s="302"/>
      <c r="AM2" s="302"/>
      <c r="AN2" s="302"/>
    </row>
    <row r="3" spans="1:106" ht="15.6" thickBot="1" x14ac:dyDescent="0.3">
      <c r="B3" s="304" t="s">
        <v>414</v>
      </c>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row>
    <row r="4" spans="1:106" ht="18" thickBot="1" x14ac:dyDescent="0.35">
      <c r="F4" s="302"/>
      <c r="G4" s="302"/>
      <c r="H4" s="302"/>
      <c r="I4" s="302"/>
      <c r="J4" s="302"/>
      <c r="K4" s="302"/>
      <c r="L4" s="302"/>
      <c r="M4" s="302"/>
      <c r="N4" s="302"/>
      <c r="O4" s="302"/>
      <c r="P4" s="302"/>
      <c r="Q4" s="302"/>
      <c r="R4" s="302"/>
      <c r="S4" s="302"/>
      <c r="T4" s="302"/>
      <c r="U4" s="302"/>
      <c r="V4" s="302"/>
      <c r="W4" s="302"/>
      <c r="X4" s="302"/>
      <c r="Z4" s="620" t="s">
        <v>415</v>
      </c>
      <c r="AA4" s="621"/>
      <c r="AB4" s="621"/>
      <c r="AC4" s="621"/>
      <c r="AD4" s="621"/>
      <c r="AE4" s="621"/>
      <c r="AF4" s="621"/>
      <c r="AG4" s="621"/>
      <c r="AH4" s="621"/>
      <c r="AI4" s="621"/>
      <c r="AJ4" s="621"/>
      <c r="AK4" s="621"/>
      <c r="AL4" s="621"/>
      <c r="AM4" s="621"/>
      <c r="AN4" s="621"/>
      <c r="AO4" s="622"/>
    </row>
    <row r="5" spans="1:106" ht="19.95" customHeight="1" thickBot="1" x14ac:dyDescent="0.3">
      <c r="A5" s="368" t="s">
        <v>182</v>
      </c>
      <c r="B5" s="369"/>
      <c r="C5" s="369"/>
      <c r="D5" s="370"/>
      <c r="F5" s="302"/>
      <c r="G5" s="302"/>
      <c r="H5" s="302"/>
      <c r="I5" s="302"/>
      <c r="J5" s="302"/>
      <c r="K5" s="302"/>
      <c r="L5" s="302"/>
      <c r="M5" s="302"/>
      <c r="N5" s="302"/>
      <c r="O5" s="302"/>
      <c r="P5" s="302"/>
      <c r="Q5" s="302"/>
      <c r="R5" s="302"/>
      <c r="S5" s="302"/>
      <c r="T5" s="302"/>
      <c r="U5" s="302"/>
      <c r="V5" s="302"/>
      <c r="W5" s="302"/>
      <c r="X5" s="302"/>
      <c r="Z5" s="305">
        <v>1</v>
      </c>
      <c r="AA5" s="306">
        <v>2</v>
      </c>
      <c r="AB5" s="306">
        <v>3</v>
      </c>
      <c r="AC5" s="306">
        <v>4</v>
      </c>
      <c r="AD5" s="306">
        <v>5</v>
      </c>
      <c r="AE5" s="306">
        <v>6</v>
      </c>
      <c r="AF5" s="306">
        <v>7</v>
      </c>
      <c r="AG5" s="306">
        <v>8</v>
      </c>
      <c r="AH5" s="306">
        <v>9</v>
      </c>
      <c r="AI5" s="306">
        <v>10</v>
      </c>
      <c r="AJ5" s="306">
        <v>11</v>
      </c>
      <c r="AK5" s="306">
        <v>12</v>
      </c>
      <c r="AL5" s="306">
        <v>13</v>
      </c>
      <c r="AM5" s="306">
        <v>14</v>
      </c>
      <c r="AN5" s="306">
        <v>15</v>
      </c>
      <c r="AO5" s="306">
        <v>16</v>
      </c>
      <c r="AP5" s="306">
        <v>17</v>
      </c>
      <c r="AQ5" s="306">
        <v>18</v>
      </c>
      <c r="AR5" s="306">
        <v>19</v>
      </c>
      <c r="AS5" s="306">
        <v>20</v>
      </c>
      <c r="AT5" s="306">
        <v>21</v>
      </c>
      <c r="AU5" s="306">
        <v>22</v>
      </c>
      <c r="AV5" s="306">
        <v>23</v>
      </c>
      <c r="AW5" s="306">
        <v>24</v>
      </c>
      <c r="AX5" s="306">
        <v>25</v>
      </c>
      <c r="AY5" s="306">
        <v>26</v>
      </c>
      <c r="AZ5" s="306">
        <v>27</v>
      </c>
      <c r="BA5" s="306">
        <v>28</v>
      </c>
      <c r="BB5" s="306">
        <v>29</v>
      </c>
      <c r="BC5" s="306">
        <v>30</v>
      </c>
      <c r="BD5" s="306">
        <v>31</v>
      </c>
      <c r="BE5" s="306">
        <v>32</v>
      </c>
      <c r="BF5" s="306">
        <v>33</v>
      </c>
      <c r="BG5" s="306">
        <v>34</v>
      </c>
      <c r="BH5" s="306">
        <v>35</v>
      </c>
      <c r="BI5" s="306">
        <v>36</v>
      </c>
      <c r="BJ5" s="306">
        <v>37</v>
      </c>
      <c r="BK5" s="306">
        <v>38</v>
      </c>
      <c r="BL5" s="306">
        <v>39</v>
      </c>
      <c r="BM5" s="306">
        <v>40</v>
      </c>
      <c r="BN5" s="306">
        <v>41</v>
      </c>
      <c r="BO5" s="306">
        <v>42</v>
      </c>
      <c r="BP5" s="306">
        <v>43</v>
      </c>
      <c r="BQ5" s="306">
        <v>44</v>
      </c>
      <c r="BR5" s="306">
        <v>45</v>
      </c>
      <c r="BS5" s="306">
        <v>46</v>
      </c>
      <c r="BT5" s="306">
        <v>47</v>
      </c>
      <c r="BU5" s="306">
        <v>48</v>
      </c>
      <c r="BV5" s="306">
        <v>49</v>
      </c>
      <c r="BW5" s="306">
        <v>50</v>
      </c>
      <c r="BX5" s="306">
        <v>51</v>
      </c>
      <c r="BY5" s="306">
        <v>52</v>
      </c>
      <c r="BZ5" s="306">
        <v>53</v>
      </c>
      <c r="CA5" s="306">
        <v>54</v>
      </c>
      <c r="CB5" s="306">
        <v>55</v>
      </c>
      <c r="CC5" s="306">
        <v>56</v>
      </c>
      <c r="CD5" s="306">
        <v>57</v>
      </c>
      <c r="CE5" s="306">
        <v>58</v>
      </c>
      <c r="CF5" s="306">
        <v>59</v>
      </c>
      <c r="CG5" s="306">
        <v>60</v>
      </c>
      <c r="CH5" s="306">
        <v>61</v>
      </c>
      <c r="CI5" s="306">
        <v>62</v>
      </c>
      <c r="CJ5" s="306">
        <v>63</v>
      </c>
      <c r="CK5" s="306">
        <v>64</v>
      </c>
      <c r="CL5" s="306">
        <v>65</v>
      </c>
      <c r="CM5" s="306">
        <v>66</v>
      </c>
      <c r="CN5" s="306">
        <v>67</v>
      </c>
      <c r="CO5" s="306">
        <v>68</v>
      </c>
      <c r="CP5" s="306">
        <v>69</v>
      </c>
      <c r="CQ5" s="306">
        <v>70</v>
      </c>
      <c r="CR5" s="306">
        <v>71</v>
      </c>
      <c r="CS5" s="306">
        <v>72</v>
      </c>
      <c r="CT5" s="306">
        <v>73</v>
      </c>
      <c r="CU5" s="306">
        <v>74</v>
      </c>
      <c r="CV5" s="306">
        <v>75</v>
      </c>
      <c r="CW5" s="306">
        <v>76</v>
      </c>
      <c r="CX5" s="306">
        <v>77</v>
      </c>
      <c r="CY5" s="306">
        <v>78</v>
      </c>
      <c r="CZ5" s="306">
        <v>79</v>
      </c>
      <c r="DA5" s="306">
        <v>80</v>
      </c>
      <c r="DB5" s="307">
        <v>81</v>
      </c>
    </row>
    <row r="6" spans="1:106" ht="19.95" customHeight="1" thickBot="1" x14ac:dyDescent="0.3">
      <c r="A6" s="354"/>
      <c r="B6" s="355" t="s">
        <v>179</v>
      </c>
      <c r="C6" s="355" t="s">
        <v>2</v>
      </c>
      <c r="D6" s="356" t="s">
        <v>390</v>
      </c>
      <c r="F6" s="302"/>
      <c r="G6" s="302"/>
      <c r="H6" s="302"/>
      <c r="I6" s="302"/>
      <c r="J6" s="302"/>
      <c r="K6" s="302"/>
      <c r="L6" s="302"/>
      <c r="M6" s="302"/>
      <c r="N6" s="302"/>
      <c r="O6" s="302"/>
      <c r="P6" s="302"/>
      <c r="Q6" s="302"/>
      <c r="R6" s="302"/>
      <c r="S6" s="302"/>
      <c r="T6" s="302"/>
      <c r="U6" s="302"/>
      <c r="V6" s="302"/>
      <c r="W6" s="302"/>
      <c r="X6" s="302"/>
      <c r="Z6" s="308"/>
      <c r="AA6" s="309"/>
      <c r="AB6" s="309"/>
      <c r="AC6" s="309"/>
      <c r="AD6" s="309"/>
      <c r="AE6" s="309"/>
      <c r="AF6" s="309"/>
      <c r="AG6" s="309"/>
      <c r="AH6" s="309"/>
      <c r="AI6" s="310"/>
      <c r="AJ6" s="309">
        <v>3</v>
      </c>
      <c r="AK6" s="309"/>
      <c r="AL6" s="309"/>
      <c r="AM6" s="309"/>
      <c r="AN6" s="309"/>
      <c r="AO6" s="309"/>
      <c r="AP6" s="309"/>
      <c r="AQ6" s="309"/>
      <c r="AR6" s="309"/>
      <c r="AS6" s="309"/>
      <c r="AT6" s="309"/>
      <c r="AU6" s="309"/>
      <c r="AV6" s="309"/>
      <c r="AW6" s="309"/>
      <c r="AX6" s="309"/>
      <c r="AY6" s="309"/>
      <c r="AZ6" s="309"/>
      <c r="BA6" s="309"/>
      <c r="BB6" s="309"/>
      <c r="BC6" s="309"/>
      <c r="BD6" s="309"/>
      <c r="BE6" s="309"/>
      <c r="BF6" s="309"/>
      <c r="BG6" s="309"/>
      <c r="BH6" s="309"/>
      <c r="BI6" s="309"/>
      <c r="BJ6" s="309"/>
      <c r="BK6" s="309"/>
      <c r="BL6" s="309"/>
      <c r="BM6" s="309"/>
      <c r="BN6" s="309"/>
      <c r="BO6" s="309"/>
      <c r="BP6" s="309"/>
      <c r="BQ6" s="309"/>
      <c r="BR6" s="309"/>
      <c r="BS6" s="309"/>
      <c r="BT6" s="309"/>
      <c r="BU6" s="309"/>
      <c r="BV6" s="309"/>
      <c r="BW6" s="309"/>
      <c r="BX6" s="309"/>
      <c r="BY6" s="309"/>
      <c r="BZ6" s="309"/>
      <c r="CA6" s="309"/>
      <c r="CB6" s="309"/>
      <c r="CC6" s="309"/>
      <c r="CD6" s="309"/>
      <c r="CE6" s="309"/>
      <c r="CF6" s="309"/>
      <c r="CG6" s="309"/>
      <c r="CH6" s="309"/>
      <c r="CI6" s="309"/>
      <c r="CJ6" s="309"/>
      <c r="CK6" s="309"/>
      <c r="CL6" s="309"/>
      <c r="CM6" s="309"/>
      <c r="CN6" s="309"/>
      <c r="CO6" s="309"/>
      <c r="CP6" s="309"/>
      <c r="CQ6" s="309"/>
      <c r="CR6" s="309"/>
      <c r="CS6" s="309"/>
      <c r="CT6" s="309"/>
      <c r="CU6" s="309"/>
      <c r="CV6" s="309"/>
      <c r="CW6" s="309"/>
      <c r="CX6" s="309"/>
      <c r="CY6" s="309"/>
      <c r="CZ6" s="309"/>
      <c r="DA6" s="309"/>
      <c r="DB6" s="311"/>
    </row>
    <row r="7" spans="1:106" ht="19.95" customHeight="1" x14ac:dyDescent="0.25">
      <c r="A7" s="357">
        <v>1</v>
      </c>
      <c r="B7" s="117" t="s">
        <v>394</v>
      </c>
      <c r="C7" s="117" t="s">
        <v>178</v>
      </c>
      <c r="D7" s="358">
        <v>4</v>
      </c>
      <c r="F7" s="302"/>
      <c r="G7" s="302"/>
      <c r="H7" s="302"/>
      <c r="I7" s="302"/>
      <c r="J7" s="302"/>
      <c r="K7" s="302"/>
      <c r="L7" s="302"/>
      <c r="M7" s="302"/>
      <c r="N7" s="302"/>
      <c r="O7" s="302"/>
      <c r="P7" s="302"/>
      <c r="Q7" s="302"/>
      <c r="R7" s="302"/>
      <c r="S7" s="302"/>
      <c r="T7" s="302"/>
      <c r="U7" s="302"/>
      <c r="V7" s="302"/>
      <c r="W7" s="302"/>
      <c r="X7" s="302"/>
      <c r="Z7" s="312"/>
      <c r="AA7" s="313"/>
      <c r="AB7" s="313"/>
      <c r="AC7" s="314"/>
      <c r="AD7" s="315"/>
      <c r="AF7" s="316"/>
      <c r="AG7" s="313"/>
      <c r="AH7" s="313"/>
      <c r="AI7" s="313"/>
      <c r="AJ7" s="313"/>
      <c r="AK7" s="313"/>
      <c r="AL7" s="313"/>
      <c r="AM7" s="313"/>
      <c r="AN7" s="313"/>
      <c r="AO7" s="313"/>
      <c r="AP7" s="313"/>
      <c r="AQ7" s="313"/>
      <c r="AR7" s="373">
        <v>11</v>
      </c>
      <c r="AS7" s="313"/>
      <c r="AT7" s="313"/>
      <c r="AU7" s="313"/>
      <c r="AV7" s="313"/>
      <c r="AW7" s="313"/>
      <c r="AX7" s="313"/>
      <c r="AY7" s="373">
        <v>12</v>
      </c>
      <c r="AZ7" s="313"/>
      <c r="BA7" s="313"/>
      <c r="BB7" s="313"/>
      <c r="BC7" s="373">
        <v>13</v>
      </c>
      <c r="BD7" s="313"/>
      <c r="BE7" s="313"/>
      <c r="BF7" s="313"/>
      <c r="BG7" s="313"/>
      <c r="BH7" s="313"/>
      <c r="BI7" s="313"/>
      <c r="BJ7" s="313"/>
      <c r="BK7" s="313"/>
      <c r="BL7" s="313"/>
      <c r="BM7" s="373">
        <v>14</v>
      </c>
      <c r="BN7" s="313"/>
      <c r="BO7" s="313"/>
      <c r="BP7" s="313"/>
      <c r="BQ7" s="313"/>
      <c r="BR7" s="313"/>
      <c r="BS7" s="313"/>
      <c r="BT7" s="313"/>
      <c r="BU7" s="313"/>
      <c r="BV7" s="313"/>
      <c r="BW7" s="373">
        <v>15</v>
      </c>
      <c r="BX7" s="313"/>
      <c r="BY7" s="313"/>
      <c r="BZ7" s="373">
        <v>16</v>
      </c>
      <c r="CA7" s="313"/>
      <c r="CB7" s="313"/>
      <c r="CC7" s="373">
        <v>17</v>
      </c>
      <c r="CD7" s="313"/>
      <c r="CE7" s="313"/>
      <c r="CF7" s="313"/>
      <c r="CG7" s="373">
        <v>18</v>
      </c>
      <c r="CH7" s="313"/>
      <c r="CI7" s="313"/>
      <c r="CJ7" s="373">
        <v>19</v>
      </c>
      <c r="CK7" s="313"/>
      <c r="CL7" s="313"/>
      <c r="CM7" s="313"/>
      <c r="CN7" s="313"/>
      <c r="CO7" s="313"/>
      <c r="CP7" s="373">
        <v>20</v>
      </c>
      <c r="CQ7" s="313"/>
      <c r="CR7" s="313"/>
      <c r="CS7" s="313"/>
      <c r="CT7" s="313"/>
      <c r="CU7" s="313"/>
      <c r="CV7" s="373">
        <v>21</v>
      </c>
      <c r="CW7" s="313"/>
      <c r="CX7" s="313"/>
      <c r="CY7" s="313"/>
      <c r="CZ7" s="313"/>
      <c r="DA7" s="313"/>
      <c r="DB7" s="374">
        <v>22</v>
      </c>
    </row>
    <row r="8" spans="1:106" ht="19.95" customHeight="1" x14ac:dyDescent="0.25">
      <c r="A8" s="357">
        <v>2</v>
      </c>
      <c r="B8" s="117" t="s">
        <v>395</v>
      </c>
      <c r="C8" s="117">
        <v>1</v>
      </c>
      <c r="D8" s="358">
        <v>4</v>
      </c>
      <c r="F8" s="302"/>
      <c r="G8" s="302"/>
      <c r="H8" s="302"/>
      <c r="I8" s="302"/>
      <c r="J8" s="302"/>
      <c r="K8" s="302"/>
      <c r="L8" s="302"/>
      <c r="M8" s="302"/>
      <c r="N8" s="302"/>
      <c r="O8" s="302"/>
      <c r="P8" s="302"/>
      <c r="Q8" s="302"/>
      <c r="R8" s="302"/>
      <c r="S8" s="302"/>
      <c r="T8" s="302"/>
      <c r="U8" s="302"/>
      <c r="V8" s="302"/>
      <c r="W8" s="302"/>
      <c r="X8" s="302"/>
      <c r="Z8" s="318">
        <v>1</v>
      </c>
      <c r="AA8" s="313"/>
      <c r="AB8" s="313"/>
      <c r="AC8" s="313"/>
      <c r="AD8" s="314"/>
      <c r="AE8">
        <v>2</v>
      </c>
      <c r="AF8" s="313"/>
      <c r="AG8" s="313"/>
      <c r="AH8" s="313"/>
      <c r="AI8" s="313"/>
      <c r="AJ8" s="314"/>
      <c r="AK8">
        <v>4</v>
      </c>
      <c r="AL8" s="313"/>
      <c r="AM8" s="313"/>
      <c r="AN8" s="313">
        <v>6</v>
      </c>
      <c r="AO8" s="313"/>
      <c r="AP8" s="313"/>
      <c r="AQ8" s="313">
        <v>9</v>
      </c>
      <c r="AR8" s="313"/>
      <c r="AS8" s="313">
        <v>10</v>
      </c>
      <c r="AT8" s="313"/>
      <c r="AU8" s="313"/>
      <c r="AV8" s="313"/>
      <c r="AW8" s="313"/>
      <c r="AX8" s="313"/>
      <c r="AY8" s="313"/>
      <c r="AZ8" s="313"/>
      <c r="BA8" s="313"/>
      <c r="BB8" s="313"/>
      <c r="BC8" s="313"/>
      <c r="BD8" s="313"/>
      <c r="BE8" s="313"/>
      <c r="BF8" s="313"/>
      <c r="BG8" s="313"/>
      <c r="BH8" s="313"/>
      <c r="BI8" s="313"/>
      <c r="BJ8" s="313"/>
      <c r="BK8" s="313"/>
      <c r="BL8" s="313"/>
      <c r="BM8" s="313"/>
      <c r="BN8" s="313"/>
      <c r="BO8" s="313"/>
      <c r="BP8" s="313"/>
      <c r="BQ8" s="313"/>
      <c r="BR8" s="313"/>
      <c r="BS8" s="313"/>
      <c r="BT8" s="313"/>
      <c r="BU8" s="313"/>
      <c r="BV8" s="313"/>
      <c r="BW8" s="313"/>
      <c r="BX8" s="313"/>
      <c r="BY8" s="313"/>
      <c r="BZ8" s="313"/>
      <c r="CA8" s="313"/>
      <c r="CB8" s="313"/>
      <c r="CC8" s="313"/>
      <c r="CD8" s="313"/>
      <c r="CE8" s="313"/>
      <c r="CF8" s="313"/>
      <c r="CG8" s="313"/>
      <c r="CH8" s="313"/>
      <c r="CI8" s="313"/>
      <c r="CJ8" s="313"/>
      <c r="CK8" s="313"/>
      <c r="CL8" s="313"/>
      <c r="CM8" s="313"/>
      <c r="CN8" s="313"/>
      <c r="CO8" s="313"/>
      <c r="CP8" s="313"/>
      <c r="CQ8" s="313"/>
      <c r="CR8" s="313"/>
      <c r="CS8" s="313"/>
      <c r="CT8" s="313"/>
      <c r="CU8" s="313"/>
      <c r="CV8" s="313"/>
      <c r="CW8" s="313"/>
      <c r="CX8" s="313"/>
      <c r="CY8" s="313"/>
      <c r="CZ8" s="313"/>
      <c r="DA8" s="314"/>
      <c r="DB8" s="317"/>
    </row>
    <row r="9" spans="1:106" ht="19.95" customHeight="1" x14ac:dyDescent="0.25">
      <c r="A9" s="357">
        <v>3</v>
      </c>
      <c r="B9" s="117" t="s">
        <v>352</v>
      </c>
      <c r="C9" s="117">
        <v>2</v>
      </c>
      <c r="D9" s="358">
        <v>4</v>
      </c>
      <c r="F9" s="302"/>
      <c r="G9" s="302"/>
      <c r="H9" s="302"/>
      <c r="I9" s="302"/>
      <c r="J9" s="302"/>
      <c r="K9" s="302"/>
      <c r="L9" s="302"/>
      <c r="M9" s="302"/>
      <c r="N9" s="302"/>
      <c r="O9" s="302"/>
      <c r="P9" s="302"/>
      <c r="Q9" s="302"/>
      <c r="R9" s="302"/>
      <c r="S9" s="302"/>
      <c r="T9" s="302"/>
      <c r="U9" s="302"/>
      <c r="V9" s="302"/>
      <c r="W9" s="302"/>
      <c r="X9" s="302"/>
      <c r="Z9" s="312"/>
      <c r="AA9" s="313"/>
      <c r="AB9" s="313"/>
      <c r="AC9" s="313"/>
      <c r="AE9" s="313"/>
      <c r="AF9" s="313"/>
      <c r="AG9" s="313"/>
      <c r="AH9" s="313"/>
      <c r="AI9" s="313"/>
      <c r="AJ9" s="314"/>
      <c r="AK9" s="313">
        <v>5</v>
      </c>
      <c r="AL9" s="313"/>
      <c r="AM9" s="313"/>
      <c r="AN9" s="313"/>
      <c r="AO9" s="313"/>
      <c r="AP9" s="313"/>
      <c r="AQ9" s="313"/>
      <c r="AR9" s="313"/>
      <c r="AS9" s="313"/>
      <c r="AT9" s="313"/>
      <c r="AU9" s="313"/>
      <c r="AV9" s="313"/>
      <c r="AW9" s="313"/>
      <c r="AX9" s="313"/>
      <c r="AY9" s="313"/>
      <c r="AZ9" s="313"/>
      <c r="BA9" s="313"/>
      <c r="BB9" s="313"/>
      <c r="BC9" s="313"/>
      <c r="BD9" s="313"/>
      <c r="BE9" s="313"/>
      <c r="BF9" s="313"/>
      <c r="BG9" s="313"/>
      <c r="BH9" s="313"/>
      <c r="BI9" s="313"/>
      <c r="BJ9" s="313"/>
      <c r="BK9" s="313"/>
      <c r="BL9" s="313"/>
      <c r="BM9" s="313"/>
      <c r="BN9" s="313"/>
      <c r="BO9" s="313"/>
      <c r="BP9" s="313"/>
      <c r="BQ9" s="313"/>
      <c r="BR9" s="313"/>
      <c r="BS9" s="313"/>
      <c r="BT9" s="313"/>
      <c r="BU9" s="313"/>
      <c r="BV9" s="313"/>
      <c r="BW9" s="313"/>
      <c r="BX9" s="313"/>
      <c r="BY9" s="313"/>
      <c r="BZ9" s="313"/>
      <c r="CA9" s="313"/>
      <c r="CB9" s="313"/>
      <c r="CC9" s="313"/>
      <c r="CD9" s="313"/>
      <c r="CE9" s="313"/>
      <c r="CF9" s="313"/>
      <c r="CG9" s="313"/>
      <c r="CH9" s="313"/>
      <c r="CI9" s="313"/>
      <c r="CJ9" s="313"/>
      <c r="CK9" s="313"/>
      <c r="CL9" s="313"/>
      <c r="CM9" s="313"/>
      <c r="CN9" s="313"/>
      <c r="CO9" s="313"/>
      <c r="CP9" s="313"/>
      <c r="CQ9" s="313"/>
      <c r="CR9" s="313"/>
      <c r="CS9" s="313"/>
      <c r="CT9" s="313"/>
      <c r="CU9" s="313"/>
      <c r="CV9" s="313"/>
      <c r="CW9" s="313"/>
      <c r="CX9" s="313"/>
      <c r="CY9" s="313"/>
      <c r="CZ9" s="313"/>
      <c r="DA9" s="313"/>
      <c r="DB9" s="319"/>
    </row>
    <row r="10" spans="1:106" ht="19.95" customHeight="1" x14ac:dyDescent="0.25">
      <c r="A10" s="357">
        <v>4</v>
      </c>
      <c r="B10" s="117" t="s">
        <v>396</v>
      </c>
      <c r="C10" s="117">
        <v>2</v>
      </c>
      <c r="D10" s="358">
        <v>4</v>
      </c>
      <c r="F10" s="302"/>
      <c r="G10" s="302"/>
      <c r="H10" s="302"/>
      <c r="I10" s="302"/>
      <c r="J10" s="302"/>
      <c r="K10" s="302"/>
      <c r="L10" s="302"/>
      <c r="M10" s="302"/>
      <c r="N10" s="302"/>
      <c r="O10" s="302"/>
      <c r="P10" s="302"/>
      <c r="Q10" s="302"/>
      <c r="R10" s="302"/>
      <c r="S10" s="302"/>
      <c r="T10" s="302"/>
      <c r="U10" s="302"/>
      <c r="V10" s="302"/>
      <c r="W10" s="302"/>
      <c r="X10" s="302"/>
      <c r="Z10" s="312"/>
      <c r="AA10" s="313"/>
      <c r="AB10" s="313"/>
      <c r="AC10" s="313"/>
      <c r="AD10" s="314"/>
      <c r="AE10" s="313"/>
      <c r="AF10" s="313"/>
      <c r="AG10" s="313"/>
      <c r="AH10" s="313"/>
      <c r="AI10" s="313"/>
      <c r="AJ10" s="313"/>
      <c r="AK10" s="313"/>
      <c r="AL10" s="313"/>
      <c r="AM10" s="373">
        <v>7</v>
      </c>
      <c r="AN10" s="313"/>
      <c r="AO10" s="313"/>
      <c r="AP10" s="313"/>
      <c r="AQ10" s="313"/>
      <c r="AR10" s="313"/>
      <c r="AS10" s="313"/>
      <c r="AT10" s="313"/>
      <c r="AU10" s="313"/>
      <c r="AV10" s="313"/>
      <c r="AW10" s="313"/>
      <c r="AX10" s="313"/>
      <c r="AY10" s="313"/>
      <c r="AZ10" s="313"/>
      <c r="BA10" s="313"/>
      <c r="BB10" s="313"/>
      <c r="BC10" s="313"/>
      <c r="BD10" s="313"/>
      <c r="BE10" s="313"/>
      <c r="BF10" s="313"/>
      <c r="BG10" s="313"/>
      <c r="BH10" s="313"/>
      <c r="BI10" s="313"/>
      <c r="BJ10" s="313"/>
      <c r="BK10" s="313"/>
      <c r="BL10" s="313"/>
      <c r="BM10" s="313"/>
      <c r="BN10" s="313"/>
      <c r="BO10" s="313"/>
      <c r="BP10" s="313"/>
      <c r="BQ10" s="313"/>
      <c r="BR10" s="313"/>
      <c r="BS10" s="313"/>
      <c r="BT10" s="313"/>
      <c r="BU10" s="313"/>
      <c r="BV10" s="313"/>
      <c r="BW10" s="313"/>
      <c r="BX10" s="313"/>
      <c r="BY10" s="313"/>
      <c r="BZ10" s="313"/>
      <c r="CA10" s="313"/>
      <c r="CB10" s="313"/>
      <c r="CC10" s="313"/>
      <c r="CD10" s="313"/>
      <c r="CE10" s="313"/>
      <c r="CF10" s="313"/>
      <c r="CG10" s="313"/>
      <c r="CH10" s="313"/>
      <c r="CI10" s="313"/>
      <c r="CJ10" s="313"/>
      <c r="CK10" s="313"/>
      <c r="CL10" s="313"/>
      <c r="CM10" s="313"/>
      <c r="CN10" s="313"/>
      <c r="CO10" s="313"/>
      <c r="CP10" s="313"/>
      <c r="CQ10" s="313"/>
      <c r="CR10" s="313"/>
      <c r="CS10" s="313"/>
      <c r="CT10" s="313"/>
      <c r="CU10" s="313"/>
      <c r="CV10" s="313"/>
      <c r="CW10" s="313"/>
      <c r="CX10" s="313"/>
      <c r="CY10" s="313"/>
      <c r="CZ10" s="313"/>
      <c r="DA10" s="313"/>
      <c r="DB10" s="317"/>
    </row>
    <row r="11" spans="1:106" ht="19.95" customHeight="1" x14ac:dyDescent="0.25">
      <c r="A11" s="357">
        <v>5</v>
      </c>
      <c r="B11" s="117" t="s">
        <v>310</v>
      </c>
      <c r="C11" s="117">
        <v>2</v>
      </c>
      <c r="D11" s="358">
        <v>4</v>
      </c>
      <c r="F11" s="302"/>
      <c r="G11" s="302"/>
      <c r="H11" s="302"/>
      <c r="I11" s="302"/>
      <c r="J11" s="302"/>
      <c r="K11" s="302"/>
      <c r="L11" s="302"/>
      <c r="M11" s="302"/>
      <c r="N11" s="302"/>
      <c r="O11" s="302"/>
      <c r="P11" s="302"/>
      <c r="Q11" s="302"/>
      <c r="R11" s="302"/>
      <c r="S11" s="302"/>
      <c r="T11" s="302"/>
      <c r="U11" s="302"/>
      <c r="V11" s="302"/>
      <c r="W11" s="302"/>
      <c r="X11" s="302"/>
      <c r="Z11" s="312"/>
      <c r="AA11" s="313"/>
      <c r="AB11" s="313"/>
      <c r="AC11" s="314"/>
      <c r="AD11" s="313"/>
      <c r="AE11" s="314"/>
      <c r="AF11" s="313"/>
      <c r="AH11" s="313"/>
      <c r="AI11" s="313"/>
      <c r="AJ11" s="313"/>
      <c r="AK11" s="314"/>
      <c r="AL11" s="313"/>
      <c r="AM11" s="373">
        <v>8</v>
      </c>
      <c r="AN11" s="313"/>
      <c r="AO11" s="313"/>
      <c r="AP11" s="313"/>
      <c r="AQ11" s="313"/>
      <c r="AR11" s="313"/>
      <c r="AS11" s="313"/>
      <c r="AT11" s="313"/>
      <c r="AU11" s="313"/>
      <c r="AV11" s="313"/>
      <c r="AW11" s="313"/>
      <c r="AX11" s="313"/>
      <c r="AY11" s="313"/>
      <c r="AZ11" s="313"/>
      <c r="BA11" s="313"/>
      <c r="BB11" s="313"/>
      <c r="BC11" s="313"/>
      <c r="BD11" s="313"/>
      <c r="BE11" s="313"/>
      <c r="BF11" s="313"/>
      <c r="BG11" s="313"/>
      <c r="BH11" s="313"/>
      <c r="BI11" s="313"/>
      <c r="BJ11" s="313"/>
      <c r="BK11" s="313"/>
      <c r="BL11" s="313"/>
      <c r="BM11" s="313"/>
      <c r="BN11" s="313"/>
      <c r="BO11" s="313"/>
      <c r="BP11" s="313"/>
      <c r="BQ11" s="313"/>
      <c r="BR11" s="313"/>
      <c r="BS11" s="313"/>
      <c r="BT11" s="313"/>
      <c r="BU11" s="313"/>
      <c r="BV11" s="313"/>
      <c r="BW11" s="313"/>
      <c r="BX11" s="313"/>
      <c r="BY11" s="313"/>
      <c r="BZ11" s="313"/>
      <c r="CA11" s="313"/>
      <c r="CB11" s="313"/>
      <c r="CC11" s="313"/>
      <c r="CD11" s="313"/>
      <c r="CE11" s="313"/>
      <c r="CF11" s="313"/>
      <c r="CG11" s="313"/>
      <c r="CH11" s="313"/>
      <c r="CI11" s="313"/>
      <c r="CJ11" s="313"/>
      <c r="CK11" s="313"/>
      <c r="CL11" s="313"/>
      <c r="CM11" s="313"/>
      <c r="CN11" s="313"/>
      <c r="CO11" s="313"/>
      <c r="CP11" s="313"/>
      <c r="CQ11" s="313"/>
      <c r="CR11" s="313"/>
      <c r="CS11" s="313"/>
      <c r="CT11" s="313"/>
      <c r="CU11" s="313"/>
      <c r="CV11" s="313"/>
      <c r="CW11" s="313"/>
      <c r="CX11" s="313"/>
      <c r="CY11" s="313"/>
      <c r="CZ11" s="313"/>
      <c r="DA11" s="313"/>
      <c r="DB11" s="317"/>
    </row>
    <row r="12" spans="1:106" ht="19.95" customHeight="1" x14ac:dyDescent="0.25">
      <c r="A12" s="357">
        <v>6</v>
      </c>
      <c r="B12" s="166" t="s">
        <v>397</v>
      </c>
      <c r="C12" s="166" t="s">
        <v>432</v>
      </c>
      <c r="D12" s="358">
        <v>3</v>
      </c>
      <c r="F12" s="302"/>
      <c r="G12" s="302"/>
      <c r="H12" s="302"/>
      <c r="I12" s="302"/>
      <c r="J12" s="302"/>
      <c r="K12" s="302"/>
      <c r="L12" s="302"/>
      <c r="M12" s="302"/>
      <c r="N12" s="302"/>
      <c r="O12" s="302"/>
      <c r="P12" s="302"/>
      <c r="Q12" s="302"/>
      <c r="R12" s="302"/>
      <c r="S12" s="302"/>
      <c r="T12" s="302"/>
      <c r="U12" s="302"/>
      <c r="V12" s="302"/>
      <c r="W12" s="302"/>
      <c r="X12" s="302"/>
      <c r="Z12" s="312"/>
      <c r="AA12" s="313"/>
      <c r="AB12" s="313"/>
      <c r="AC12" s="313"/>
      <c r="AD12" s="313"/>
      <c r="AE12" s="313"/>
      <c r="AF12" s="313"/>
      <c r="AG12" s="313"/>
      <c r="AH12" s="313"/>
      <c r="AI12" s="313"/>
      <c r="AJ12" s="313"/>
      <c r="AK12" s="314"/>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3"/>
      <c r="BK12" s="313"/>
      <c r="BL12" s="313"/>
      <c r="BM12" s="313"/>
      <c r="BN12" s="313"/>
      <c r="BO12" s="313"/>
      <c r="BP12" s="313"/>
      <c r="BQ12" s="313"/>
      <c r="BR12" s="313"/>
      <c r="BS12" s="313"/>
      <c r="BT12" s="313"/>
      <c r="BU12" s="313"/>
      <c r="BV12" s="313"/>
      <c r="BW12" s="313"/>
      <c r="BX12" s="313"/>
      <c r="BY12" s="313"/>
      <c r="BZ12" s="313"/>
      <c r="CA12" s="313"/>
      <c r="CB12" s="313"/>
      <c r="CC12" s="313"/>
      <c r="CD12" s="313"/>
      <c r="CE12" s="313"/>
      <c r="CF12" s="313"/>
      <c r="CG12" s="313"/>
      <c r="CH12" s="313"/>
      <c r="CI12" s="313"/>
      <c r="CJ12" s="313"/>
      <c r="CK12" s="313"/>
      <c r="CL12" s="313"/>
      <c r="CM12" s="313"/>
      <c r="CN12" s="313"/>
      <c r="CO12" s="313"/>
      <c r="CP12" s="313"/>
      <c r="CQ12" s="313"/>
      <c r="CR12" s="313"/>
      <c r="CS12" s="313"/>
      <c r="CT12" s="313"/>
      <c r="CU12" s="313"/>
      <c r="CV12" s="313"/>
      <c r="CW12" s="313"/>
      <c r="CX12" s="313"/>
      <c r="CY12" s="313"/>
      <c r="CZ12" s="313"/>
      <c r="DA12" s="313"/>
      <c r="DB12" s="317"/>
    </row>
    <row r="13" spans="1:106" ht="19.95" customHeight="1" thickBot="1" x14ac:dyDescent="0.3">
      <c r="A13" s="359">
        <v>7</v>
      </c>
      <c r="B13" s="360" t="s">
        <v>398</v>
      </c>
      <c r="C13" s="360" t="s">
        <v>432</v>
      </c>
      <c r="D13" s="361">
        <v>2</v>
      </c>
      <c r="F13" s="302"/>
      <c r="G13" s="302"/>
      <c r="H13" s="302"/>
      <c r="I13" s="302"/>
      <c r="J13" s="302"/>
      <c r="K13" s="302"/>
      <c r="L13" s="302"/>
      <c r="M13" s="302"/>
      <c r="N13" s="302"/>
      <c r="O13" s="302"/>
      <c r="P13" s="302"/>
      <c r="Q13" s="302"/>
      <c r="R13" s="302"/>
      <c r="S13" s="302"/>
      <c r="T13" s="302"/>
      <c r="U13" s="302"/>
      <c r="V13" s="302"/>
      <c r="W13" s="302"/>
      <c r="X13" s="302"/>
      <c r="Z13" s="320"/>
      <c r="AA13" s="321"/>
      <c r="AB13" s="321"/>
      <c r="AC13" s="321"/>
      <c r="AD13" s="321"/>
      <c r="AE13" s="321"/>
      <c r="AF13" s="321"/>
      <c r="AG13" s="321"/>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1"/>
      <c r="BD13" s="321"/>
      <c r="BE13" s="321"/>
      <c r="BF13" s="321"/>
      <c r="BG13" s="321"/>
      <c r="BH13" s="321"/>
      <c r="BI13" s="321"/>
      <c r="BJ13" s="321"/>
      <c r="BK13" s="321"/>
      <c r="BL13" s="321"/>
      <c r="BM13" s="321"/>
      <c r="BN13" s="321"/>
      <c r="BO13" s="321"/>
      <c r="BP13" s="321"/>
      <c r="BQ13" s="321"/>
      <c r="BR13" s="321"/>
      <c r="BS13" s="321"/>
      <c r="BT13" s="321"/>
      <c r="BU13" s="321"/>
      <c r="BV13" s="321"/>
      <c r="BW13" s="321"/>
      <c r="BX13" s="321"/>
      <c r="BY13" s="321"/>
      <c r="BZ13" s="321"/>
      <c r="CA13" s="321"/>
      <c r="CB13" s="321"/>
      <c r="CC13" s="321"/>
      <c r="CD13" s="321"/>
      <c r="CE13" s="321"/>
      <c r="CF13" s="321"/>
      <c r="CG13" s="321"/>
      <c r="CH13" s="321"/>
      <c r="CI13" s="321"/>
      <c r="CJ13" s="321"/>
      <c r="CK13" s="321"/>
      <c r="CL13" s="321"/>
      <c r="CM13" s="321"/>
      <c r="CN13" s="321"/>
      <c r="CO13" s="321"/>
      <c r="CP13" s="321"/>
      <c r="CQ13" s="321"/>
      <c r="CR13" s="321"/>
      <c r="CS13" s="321"/>
      <c r="CT13" s="321"/>
      <c r="CU13" s="321"/>
      <c r="CV13" s="321"/>
      <c r="CW13" s="321"/>
      <c r="CX13" s="321"/>
      <c r="CY13" s="321"/>
      <c r="CZ13" s="321"/>
      <c r="DA13" s="321"/>
      <c r="DB13" s="322"/>
    </row>
    <row r="14" spans="1:106" ht="19.95" customHeight="1" thickBot="1" x14ac:dyDescent="0.3">
      <c r="A14" s="357">
        <v>8</v>
      </c>
      <c r="B14" s="117" t="s">
        <v>399</v>
      </c>
      <c r="C14" s="360">
        <v>5</v>
      </c>
      <c r="D14" s="358">
        <v>2</v>
      </c>
      <c r="F14" s="302"/>
      <c r="G14" s="302"/>
      <c r="H14" s="302"/>
      <c r="I14" s="302"/>
      <c r="J14" s="302"/>
      <c r="K14" s="302"/>
      <c r="L14" s="302"/>
      <c r="M14" s="302"/>
      <c r="N14" s="302"/>
      <c r="O14" s="302"/>
      <c r="P14" s="302"/>
      <c r="Q14" s="302"/>
      <c r="R14" s="302"/>
      <c r="S14" s="302"/>
      <c r="T14" s="302"/>
      <c r="U14" s="302"/>
      <c r="V14" s="302"/>
      <c r="W14" s="302"/>
      <c r="X14" s="302"/>
    </row>
    <row r="15" spans="1:106" ht="19.95" customHeight="1" x14ac:dyDescent="0.25">
      <c r="A15" s="362">
        <v>9</v>
      </c>
      <c r="B15" s="166" t="s">
        <v>400</v>
      </c>
      <c r="C15" s="166">
        <v>6</v>
      </c>
      <c r="D15" s="358">
        <v>3</v>
      </c>
      <c r="E15" s="302"/>
      <c r="F15" s="302"/>
      <c r="G15" s="302"/>
      <c r="H15" s="302"/>
      <c r="I15" s="302"/>
      <c r="J15" s="302"/>
      <c r="K15" s="302"/>
      <c r="L15" s="302"/>
      <c r="M15" s="302"/>
      <c r="N15" s="302"/>
      <c r="O15" s="302"/>
      <c r="P15" s="302"/>
      <c r="Q15" s="302"/>
      <c r="R15" s="302"/>
      <c r="S15" s="302"/>
      <c r="T15" s="302"/>
      <c r="U15" s="302"/>
      <c r="V15" s="302"/>
      <c r="W15" s="302"/>
      <c r="X15" s="302"/>
      <c r="Y15" s="302"/>
      <c r="Z15" s="323" t="s">
        <v>434</v>
      </c>
      <c r="AA15" s="324"/>
      <c r="AB15" s="324"/>
      <c r="AC15" s="324"/>
      <c r="AD15" s="324"/>
      <c r="AE15" s="324"/>
      <c r="AF15" s="324"/>
      <c r="AG15" s="324"/>
      <c r="AH15" s="324"/>
      <c r="AI15" s="324"/>
      <c r="AJ15" s="324"/>
      <c r="AK15" s="324"/>
      <c r="AL15" s="325"/>
      <c r="AM15" s="302"/>
      <c r="AN15" s="302"/>
      <c r="AO15" s="302"/>
    </row>
    <row r="16" spans="1:106" ht="19.95" customHeight="1" x14ac:dyDescent="0.25">
      <c r="A16" s="363">
        <v>10</v>
      </c>
      <c r="B16" s="363" t="s">
        <v>357</v>
      </c>
      <c r="C16" s="363" t="s">
        <v>433</v>
      </c>
      <c r="D16" s="364">
        <v>2</v>
      </c>
      <c r="E16" s="302"/>
      <c r="F16" s="302"/>
      <c r="G16" s="302"/>
      <c r="H16" s="302"/>
      <c r="I16" s="302"/>
      <c r="J16" s="302"/>
      <c r="K16" s="302"/>
      <c r="L16" s="302"/>
      <c r="M16" s="302"/>
      <c r="N16" s="302"/>
      <c r="O16" s="302"/>
      <c r="P16" s="302"/>
      <c r="Q16" s="302"/>
      <c r="R16" s="302"/>
      <c r="S16" s="302"/>
      <c r="T16" s="302"/>
      <c r="U16" s="302"/>
      <c r="V16" s="302"/>
      <c r="W16" s="302"/>
      <c r="X16" s="302"/>
      <c r="Y16" s="302"/>
      <c r="Z16" s="326" t="s">
        <v>435</v>
      </c>
      <c r="AA16" s="327"/>
      <c r="AB16" s="327"/>
      <c r="AC16" s="327"/>
      <c r="AD16" s="327"/>
      <c r="AE16" s="327"/>
      <c r="AF16" s="327"/>
      <c r="AG16" s="327"/>
      <c r="AH16" s="327"/>
      <c r="AI16" s="327"/>
      <c r="AJ16" s="327"/>
      <c r="AK16" s="327"/>
      <c r="AL16" s="328"/>
      <c r="AM16" s="302"/>
      <c r="AN16" s="302"/>
      <c r="AO16" s="302"/>
    </row>
    <row r="17" spans="1:41" ht="19.95" customHeight="1" x14ac:dyDescent="0.25">
      <c r="A17" s="360">
        <v>11</v>
      </c>
      <c r="B17" s="360" t="s">
        <v>316</v>
      </c>
      <c r="C17" s="360">
        <v>3</v>
      </c>
      <c r="D17" s="360">
        <v>7</v>
      </c>
      <c r="E17" s="302"/>
      <c r="F17" s="302"/>
      <c r="G17" s="302"/>
      <c r="H17" s="302"/>
      <c r="I17" s="302"/>
      <c r="J17" s="302"/>
      <c r="K17" s="302"/>
      <c r="L17" s="302"/>
      <c r="M17" s="302"/>
      <c r="N17" s="302"/>
      <c r="O17" s="302"/>
      <c r="P17" s="302"/>
      <c r="Q17" s="302"/>
      <c r="R17" s="302"/>
      <c r="S17" s="302"/>
      <c r="T17" s="302"/>
      <c r="U17" s="302"/>
      <c r="V17" s="302"/>
      <c r="W17" s="302"/>
      <c r="X17" s="302"/>
      <c r="Y17" s="302"/>
      <c r="Z17" s="375" t="s">
        <v>436</v>
      </c>
      <c r="AA17" s="327"/>
      <c r="AB17" s="327"/>
      <c r="AC17" s="327"/>
      <c r="AD17" s="327"/>
      <c r="AE17" s="327"/>
      <c r="AF17" s="327"/>
      <c r="AG17" s="327"/>
      <c r="AH17" s="327"/>
      <c r="AI17" s="327"/>
      <c r="AJ17" s="327"/>
      <c r="AK17" s="327"/>
      <c r="AL17" s="328"/>
      <c r="AM17" s="302"/>
      <c r="AN17" s="302"/>
      <c r="AO17" s="302"/>
    </row>
    <row r="18" spans="1:41" ht="19.95" customHeight="1" thickBot="1" x14ac:dyDescent="0.3">
      <c r="A18" s="360">
        <v>12</v>
      </c>
      <c r="B18" s="360" t="s">
        <v>360</v>
      </c>
      <c r="C18" s="360">
        <v>11</v>
      </c>
      <c r="D18" s="360">
        <v>7</v>
      </c>
      <c r="E18" s="302"/>
      <c r="F18" s="302"/>
      <c r="G18" s="302"/>
      <c r="H18" s="302"/>
      <c r="I18" s="302"/>
      <c r="J18" s="302"/>
      <c r="K18" s="302"/>
      <c r="L18" s="302"/>
      <c r="M18" s="302"/>
      <c r="N18" s="302"/>
      <c r="O18" s="302"/>
      <c r="P18" s="302"/>
      <c r="Q18" s="302"/>
      <c r="R18" s="302"/>
      <c r="S18" s="302"/>
      <c r="T18" s="302"/>
      <c r="U18" s="302"/>
      <c r="V18" s="302"/>
      <c r="W18" s="302"/>
      <c r="X18" s="302"/>
      <c r="Y18" s="302"/>
      <c r="Z18" s="376" t="s">
        <v>437</v>
      </c>
      <c r="AA18" s="329"/>
      <c r="AB18" s="329"/>
      <c r="AC18" s="329"/>
      <c r="AD18" s="329"/>
      <c r="AE18" s="329"/>
      <c r="AF18" s="329"/>
      <c r="AG18" s="329"/>
      <c r="AH18" s="329"/>
      <c r="AI18" s="329"/>
      <c r="AJ18" s="329"/>
      <c r="AK18" s="329"/>
      <c r="AL18" s="330"/>
      <c r="AM18" s="302"/>
      <c r="AN18" s="302"/>
      <c r="AO18" s="302"/>
    </row>
    <row r="19" spans="1:41" ht="19.95" customHeight="1" x14ac:dyDescent="0.25">
      <c r="A19" s="360">
        <v>13</v>
      </c>
      <c r="B19" s="360" t="s">
        <v>401</v>
      </c>
      <c r="C19" s="360">
        <v>12</v>
      </c>
      <c r="D19" s="360">
        <v>4</v>
      </c>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2"/>
      <c r="AH19" s="302"/>
      <c r="AI19" s="302"/>
      <c r="AJ19" s="302"/>
      <c r="AK19" s="302"/>
      <c r="AL19" s="302"/>
      <c r="AM19" s="302"/>
      <c r="AN19" s="302"/>
      <c r="AO19" s="302"/>
    </row>
    <row r="20" spans="1:41" ht="19.95" customHeight="1" x14ac:dyDescent="0.25">
      <c r="A20" s="360">
        <v>14</v>
      </c>
      <c r="B20" s="360" t="s">
        <v>402</v>
      </c>
      <c r="C20" s="360" t="s">
        <v>403</v>
      </c>
      <c r="D20" s="360">
        <v>10</v>
      </c>
      <c r="E20" s="302"/>
      <c r="F20" s="302"/>
      <c r="G20" s="302"/>
      <c r="H20" s="302"/>
      <c r="I20" s="302"/>
      <c r="J20" s="302"/>
      <c r="K20" s="302"/>
      <c r="L20" s="302"/>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row>
    <row r="21" spans="1:41" ht="19.95" customHeight="1" x14ac:dyDescent="0.25">
      <c r="A21" s="360">
        <v>15</v>
      </c>
      <c r="B21" s="360" t="s">
        <v>404</v>
      </c>
      <c r="C21" s="360">
        <v>14</v>
      </c>
      <c r="D21" s="360">
        <v>10</v>
      </c>
      <c r="E21" s="302"/>
      <c r="F21" s="302"/>
      <c r="G21" s="302"/>
      <c r="H21" s="302"/>
      <c r="I21" s="302"/>
      <c r="J21" s="302"/>
      <c r="K21" s="302"/>
      <c r="L21" s="302"/>
      <c r="M21" s="302"/>
      <c r="N21" s="302"/>
      <c r="O21" s="302"/>
      <c r="P21" s="302"/>
      <c r="Q21" s="302"/>
      <c r="R21" s="302"/>
      <c r="S21" s="302"/>
      <c r="T21" s="302"/>
      <c r="U21" s="302"/>
      <c r="V21" s="302"/>
      <c r="W21" s="302"/>
      <c r="Z21" s="302"/>
      <c r="AA21" s="302"/>
      <c r="AB21" s="302"/>
      <c r="AC21" s="302"/>
      <c r="AD21" s="302"/>
      <c r="AE21" s="302"/>
      <c r="AF21" s="302"/>
      <c r="AG21" s="302"/>
      <c r="AH21" s="302"/>
      <c r="AI21" s="302"/>
      <c r="AJ21" s="302"/>
      <c r="AK21" s="302"/>
      <c r="AL21" s="302"/>
    </row>
    <row r="22" spans="1:41" ht="19.95" customHeight="1" x14ac:dyDescent="0.25">
      <c r="A22" s="360">
        <v>16</v>
      </c>
      <c r="B22" s="360" t="s">
        <v>405</v>
      </c>
      <c r="C22" s="360">
        <v>15</v>
      </c>
      <c r="D22" s="360">
        <v>3</v>
      </c>
      <c r="E22" s="302"/>
      <c r="F22" s="302"/>
      <c r="G22" s="302"/>
      <c r="H22" s="302"/>
      <c r="I22" s="302"/>
      <c r="J22" s="302"/>
      <c r="K22" s="302"/>
      <c r="L22" s="302"/>
      <c r="M22" s="302"/>
      <c r="N22" s="302"/>
      <c r="O22" s="302"/>
      <c r="P22" s="302"/>
      <c r="Q22" s="302"/>
      <c r="R22" s="302"/>
      <c r="S22" s="302"/>
      <c r="T22" s="302"/>
      <c r="U22" s="302"/>
      <c r="V22" s="302"/>
      <c r="W22" s="302"/>
    </row>
    <row r="23" spans="1:41" ht="19.95" customHeight="1" x14ac:dyDescent="0.25">
      <c r="A23" s="360">
        <v>17</v>
      </c>
      <c r="B23" s="360" t="s">
        <v>363</v>
      </c>
      <c r="C23" s="360">
        <v>16</v>
      </c>
      <c r="D23" s="360">
        <v>3</v>
      </c>
      <c r="E23" s="302"/>
      <c r="F23" s="302"/>
      <c r="G23" s="302"/>
      <c r="H23" s="302"/>
      <c r="I23" s="302"/>
      <c r="J23" s="302"/>
      <c r="K23" s="302"/>
      <c r="L23" s="302"/>
      <c r="M23" s="302"/>
      <c r="N23" s="302"/>
      <c r="O23" s="302"/>
      <c r="P23" s="302"/>
      <c r="Q23" s="302"/>
      <c r="R23" s="302"/>
      <c r="S23" s="302"/>
      <c r="T23" s="302"/>
      <c r="U23" s="302"/>
      <c r="V23" s="302"/>
      <c r="W23" s="302"/>
    </row>
    <row r="24" spans="1:41" ht="19.95" customHeight="1" x14ac:dyDescent="0.25">
      <c r="A24" s="365">
        <v>18</v>
      </c>
      <c r="B24" s="360" t="s">
        <v>406</v>
      </c>
      <c r="C24" s="360">
        <v>17</v>
      </c>
      <c r="D24" s="360">
        <v>4</v>
      </c>
      <c r="E24" s="302"/>
      <c r="F24" s="302"/>
      <c r="G24" s="302"/>
      <c r="H24" s="302"/>
      <c r="I24" s="302"/>
      <c r="J24" s="302"/>
      <c r="K24" s="302"/>
      <c r="L24" s="302"/>
      <c r="M24" s="302"/>
      <c r="N24" s="302"/>
      <c r="O24" s="302"/>
      <c r="P24" s="302"/>
      <c r="Q24" s="302"/>
      <c r="R24" s="302"/>
      <c r="S24" s="302"/>
      <c r="T24" s="302"/>
      <c r="U24" s="302"/>
      <c r="V24" s="302"/>
      <c r="W24" s="302"/>
    </row>
    <row r="25" spans="1:41" ht="19.95" customHeight="1" x14ac:dyDescent="0.25">
      <c r="A25" s="360">
        <v>19</v>
      </c>
      <c r="B25" s="360" t="s">
        <v>407</v>
      </c>
      <c r="C25" s="360">
        <v>18</v>
      </c>
      <c r="D25" s="360">
        <v>3</v>
      </c>
      <c r="E25" s="302"/>
      <c r="F25" s="302"/>
      <c r="G25" s="302"/>
      <c r="H25" s="302"/>
      <c r="I25" s="302"/>
      <c r="J25" s="302"/>
      <c r="K25" s="302"/>
      <c r="L25" s="302"/>
      <c r="M25" s="302"/>
      <c r="N25" s="302"/>
      <c r="O25" s="302"/>
      <c r="P25" s="302"/>
      <c r="Q25" s="302"/>
      <c r="R25" s="302"/>
      <c r="S25" s="302"/>
      <c r="T25" s="302"/>
      <c r="U25" s="302"/>
      <c r="V25" s="302"/>
      <c r="W25" s="302"/>
    </row>
    <row r="26" spans="1:41" ht="19.95" customHeight="1" x14ac:dyDescent="0.25">
      <c r="A26" s="360">
        <v>20</v>
      </c>
      <c r="B26" s="360" t="s">
        <v>408</v>
      </c>
      <c r="C26" s="360">
        <v>19</v>
      </c>
      <c r="D26" s="360">
        <v>6</v>
      </c>
      <c r="E26" s="302"/>
      <c r="F26" s="302"/>
      <c r="G26" s="302"/>
      <c r="H26" s="302"/>
      <c r="I26" s="302"/>
      <c r="J26" s="302"/>
      <c r="K26" s="302"/>
      <c r="L26" s="302"/>
      <c r="M26" s="302"/>
      <c r="N26" s="302"/>
      <c r="O26" s="302"/>
      <c r="P26" s="302"/>
      <c r="Q26" s="302"/>
      <c r="R26" s="302"/>
      <c r="S26" s="302"/>
      <c r="T26" s="302"/>
      <c r="U26" s="302"/>
      <c r="V26" s="302"/>
      <c r="W26" s="302"/>
    </row>
    <row r="27" spans="1:41" ht="19.95" customHeight="1" x14ac:dyDescent="0.25">
      <c r="A27" s="360">
        <v>21</v>
      </c>
      <c r="B27" s="360" t="s">
        <v>409</v>
      </c>
      <c r="C27" s="360">
        <v>20</v>
      </c>
      <c r="D27" s="360">
        <v>6</v>
      </c>
      <c r="E27" s="302"/>
      <c r="F27" s="302"/>
      <c r="G27" s="302"/>
      <c r="H27" s="302"/>
      <c r="I27" s="302"/>
      <c r="J27" s="302"/>
      <c r="K27" s="302"/>
      <c r="L27" s="302"/>
      <c r="M27" s="302"/>
      <c r="N27" s="302"/>
      <c r="O27" s="302"/>
      <c r="P27" s="302"/>
      <c r="Q27" s="302"/>
      <c r="R27" s="302"/>
      <c r="S27" s="302"/>
      <c r="T27" s="302"/>
      <c r="U27" s="302"/>
      <c r="V27" s="302"/>
      <c r="W27" s="302"/>
    </row>
    <row r="28" spans="1:41" ht="19.95" customHeight="1" x14ac:dyDescent="0.25">
      <c r="A28" s="360">
        <v>22</v>
      </c>
      <c r="B28" s="360" t="s">
        <v>410</v>
      </c>
      <c r="C28" s="360">
        <v>21</v>
      </c>
      <c r="D28" s="360">
        <v>6</v>
      </c>
      <c r="E28" s="302"/>
      <c r="F28" s="302"/>
      <c r="G28" s="302"/>
      <c r="H28" s="302"/>
      <c r="I28" s="302"/>
      <c r="J28" s="302"/>
      <c r="K28" s="302"/>
      <c r="L28" s="302"/>
      <c r="M28" s="302"/>
      <c r="N28" s="302"/>
      <c r="O28" s="302"/>
      <c r="P28" s="302"/>
      <c r="Q28" s="302"/>
      <c r="R28" s="302"/>
      <c r="S28" s="302"/>
      <c r="T28" s="302"/>
      <c r="U28" s="302"/>
      <c r="V28" s="302"/>
      <c r="W28" s="302"/>
    </row>
    <row r="29" spans="1:41" ht="19.95" customHeight="1" thickBot="1" x14ac:dyDescent="0.3">
      <c r="A29" s="366"/>
      <c r="B29" s="371"/>
      <c r="C29" s="372"/>
      <c r="D29" s="367"/>
      <c r="E29" s="302"/>
      <c r="F29" s="302"/>
      <c r="G29" s="302"/>
      <c r="H29" s="302"/>
      <c r="I29" s="302"/>
      <c r="J29" s="302"/>
      <c r="K29" s="302"/>
      <c r="L29" s="302"/>
      <c r="M29" s="302"/>
      <c r="N29" s="302"/>
      <c r="O29" s="302"/>
      <c r="P29" s="302"/>
      <c r="Q29" s="302"/>
      <c r="R29" s="302"/>
      <c r="S29" s="302"/>
      <c r="T29" s="302"/>
      <c r="U29" s="302"/>
      <c r="V29" s="302"/>
      <c r="W29" s="302"/>
    </row>
    <row r="30" spans="1:41" x14ac:dyDescent="0.25">
      <c r="B30" s="302"/>
      <c r="C30" s="302"/>
      <c r="D30" s="302"/>
      <c r="E30" s="302"/>
      <c r="F30" s="302"/>
      <c r="G30" s="302"/>
      <c r="H30" s="302"/>
      <c r="I30" s="302"/>
      <c r="J30" s="302"/>
      <c r="K30" s="302"/>
      <c r="L30" s="302"/>
      <c r="M30" s="302"/>
      <c r="N30" s="302"/>
      <c r="O30" s="302"/>
      <c r="P30" s="302"/>
      <c r="Q30" s="302"/>
      <c r="R30" s="302"/>
      <c r="S30" s="302"/>
      <c r="T30" s="302"/>
      <c r="U30" s="302"/>
      <c r="V30" s="302"/>
      <c r="W30" s="302"/>
    </row>
  </sheetData>
  <mergeCells count="1">
    <mergeCell ref="Z4:AO4"/>
  </mergeCells>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811C-6F1C-4859-B70F-CC7A201989E4}">
  <dimension ref="A1:BO31"/>
  <sheetViews>
    <sheetView topLeftCell="E1" zoomScale="82" zoomScaleNormal="110" workbookViewId="0">
      <selection activeCell="AS19" sqref="AS19"/>
    </sheetView>
  </sheetViews>
  <sheetFormatPr defaultRowHeight="13.2" x14ac:dyDescent="0.25"/>
  <cols>
    <col min="1" max="4" width="20.77734375" customWidth="1"/>
    <col min="25" max="40" width="4.88671875" customWidth="1"/>
  </cols>
  <sheetData>
    <row r="1" spans="1:67" ht="22.8" x14ac:dyDescent="0.4">
      <c r="A1" s="301" t="s">
        <v>411</v>
      </c>
      <c r="B1" s="301"/>
      <c r="C1" s="302"/>
      <c r="D1" s="302"/>
      <c r="E1" s="302"/>
      <c r="F1" s="302"/>
      <c r="G1" s="302"/>
      <c r="H1" s="302"/>
      <c r="I1" s="302"/>
      <c r="J1" s="302"/>
      <c r="K1" s="302"/>
      <c r="L1" s="302"/>
      <c r="M1" s="302"/>
      <c r="N1" s="302"/>
      <c r="O1" s="302"/>
      <c r="P1" s="302"/>
      <c r="Q1" s="302"/>
      <c r="R1" s="302"/>
      <c r="S1" s="302"/>
      <c r="T1" s="302"/>
      <c r="U1" s="331" t="s">
        <v>416</v>
      </c>
      <c r="V1" s="332"/>
      <c r="W1" s="333"/>
      <c r="X1" s="334" t="s">
        <v>417</v>
      </c>
      <c r="Y1" s="332"/>
      <c r="Z1" s="333"/>
      <c r="AA1" s="302"/>
      <c r="AB1" s="302"/>
      <c r="AC1" s="302"/>
      <c r="AD1" s="302"/>
      <c r="AE1" s="302"/>
      <c r="AF1" s="302"/>
      <c r="AG1" s="302"/>
      <c r="AH1" s="302"/>
      <c r="AI1" s="302"/>
      <c r="AJ1" s="302"/>
      <c r="AK1" s="302"/>
      <c r="AL1" s="302"/>
      <c r="AM1" s="302"/>
      <c r="AN1" s="302"/>
      <c r="AP1" s="302"/>
      <c r="AQ1" s="302"/>
      <c r="AR1" s="302"/>
      <c r="AS1" s="302"/>
      <c r="AT1" s="302"/>
      <c r="AU1" s="302"/>
      <c r="AV1" s="302"/>
      <c r="AW1" s="302"/>
      <c r="AX1" s="302"/>
      <c r="AY1" s="302"/>
    </row>
    <row r="2" spans="1:67" ht="13.8" thickBot="1" x14ac:dyDescent="0.3">
      <c r="B2" s="302"/>
      <c r="C2" s="302"/>
      <c r="D2" s="302"/>
      <c r="E2" s="302"/>
      <c r="F2" s="302"/>
      <c r="G2" s="302"/>
      <c r="H2" s="302"/>
      <c r="I2" s="302"/>
      <c r="J2" s="302"/>
      <c r="K2" s="302"/>
      <c r="L2" s="302"/>
      <c r="M2" s="302"/>
      <c r="N2" s="302"/>
      <c r="O2" s="302"/>
      <c r="P2" s="302"/>
      <c r="Q2" s="302"/>
      <c r="R2" s="302"/>
      <c r="S2" s="302"/>
      <c r="T2" s="302"/>
      <c r="U2" s="335" t="s">
        <v>418</v>
      </c>
      <c r="V2" s="302"/>
      <c r="W2" s="336"/>
      <c r="X2" s="337" t="s">
        <v>419</v>
      </c>
      <c r="Y2" s="302"/>
      <c r="Z2" s="336"/>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row>
    <row r="3" spans="1:67" ht="15" x14ac:dyDescent="0.25">
      <c r="B3" s="304" t="s">
        <v>414</v>
      </c>
      <c r="C3" s="302"/>
      <c r="D3" s="302"/>
      <c r="E3" s="302"/>
      <c r="F3" s="302"/>
      <c r="G3" s="302"/>
      <c r="H3" s="302"/>
      <c r="I3" s="302"/>
      <c r="J3" s="302"/>
      <c r="K3" s="302"/>
      <c r="L3" s="302"/>
      <c r="M3" s="302"/>
      <c r="N3" s="302"/>
      <c r="O3" s="302"/>
      <c r="P3" s="302"/>
      <c r="Q3" s="302"/>
      <c r="R3" s="302"/>
      <c r="S3" s="302"/>
      <c r="T3" s="302"/>
      <c r="U3" s="331" t="s">
        <v>420</v>
      </c>
      <c r="V3" s="332"/>
      <c r="W3" s="333"/>
      <c r="X3" s="204" t="s">
        <v>421</v>
      </c>
      <c r="Y3" s="333"/>
      <c r="Z3" s="302"/>
      <c r="AA3" s="302"/>
      <c r="AB3" s="302"/>
      <c r="AC3" s="302"/>
      <c r="AD3" s="302"/>
      <c r="AE3" s="302"/>
      <c r="AF3" s="302"/>
      <c r="AG3" s="302"/>
      <c r="AH3" s="302"/>
      <c r="AI3" s="302"/>
      <c r="AJ3" s="302"/>
      <c r="AK3" s="302"/>
      <c r="AL3" s="302"/>
      <c r="AM3" s="302"/>
      <c r="AN3" s="302"/>
      <c r="AO3" s="302"/>
      <c r="AP3" s="302"/>
      <c r="AQ3" s="302"/>
      <c r="AR3" s="302"/>
      <c r="AS3" s="302"/>
      <c r="AT3" s="302"/>
      <c r="AU3" s="302"/>
      <c r="AV3" s="302"/>
      <c r="AW3" s="302"/>
      <c r="AX3" s="302"/>
      <c r="AY3" s="302"/>
      <c r="AZ3" s="302"/>
      <c r="BA3" s="302"/>
      <c r="BB3" s="302"/>
      <c r="BC3" s="302"/>
    </row>
    <row r="4" spans="1:67" ht="13.8" thickBot="1" x14ac:dyDescent="0.3">
      <c r="U4" s="339" t="s">
        <v>422</v>
      </c>
      <c r="V4" s="340"/>
      <c r="W4" s="341"/>
      <c r="X4" s="340"/>
      <c r="Y4" s="340"/>
      <c r="Z4" s="302"/>
      <c r="AB4" s="302"/>
      <c r="AC4" s="302"/>
      <c r="AD4" s="302"/>
      <c r="AE4" s="302"/>
      <c r="AF4" s="302"/>
      <c r="AL4" s="302"/>
      <c r="AM4" s="302"/>
    </row>
    <row r="5" spans="1:67" ht="13.8" thickBot="1" x14ac:dyDescent="0.3">
      <c r="E5" s="302"/>
      <c r="F5" s="302"/>
      <c r="G5" s="302"/>
      <c r="H5" s="302"/>
      <c r="I5" s="302"/>
      <c r="J5" s="302"/>
      <c r="K5" s="302"/>
      <c r="L5" s="302"/>
      <c r="M5" s="302"/>
      <c r="N5" s="302"/>
      <c r="O5" s="302"/>
      <c r="P5" s="302"/>
      <c r="Q5" s="302"/>
      <c r="R5" s="302"/>
      <c r="S5" s="302"/>
      <c r="U5" s="337"/>
      <c r="V5" s="302"/>
      <c r="W5" s="302"/>
      <c r="X5" s="302"/>
      <c r="Y5" s="302"/>
      <c r="Z5" s="302"/>
      <c r="AA5" s="302"/>
      <c r="AB5" s="302"/>
      <c r="AC5" s="302"/>
      <c r="AD5" s="302"/>
      <c r="AE5" s="302"/>
      <c r="AF5" s="302"/>
      <c r="AL5" s="302"/>
      <c r="AM5" s="302"/>
    </row>
    <row r="6" spans="1:67" ht="19.95" customHeight="1" thickBot="1" x14ac:dyDescent="0.3">
      <c r="A6" s="368" t="s">
        <v>182</v>
      </c>
      <c r="B6" s="369"/>
      <c r="C6" s="369"/>
      <c r="D6" s="370"/>
      <c r="E6" s="302"/>
      <c r="F6" s="302"/>
      <c r="G6" s="302"/>
      <c r="H6" s="302"/>
      <c r="I6" s="302"/>
      <c r="J6" s="302"/>
      <c r="K6" s="302"/>
      <c r="L6" s="302"/>
      <c r="M6" s="302"/>
      <c r="N6" s="302"/>
      <c r="O6" s="302"/>
      <c r="P6" s="302"/>
      <c r="Q6" s="302"/>
      <c r="R6" s="302"/>
      <c r="S6" s="302"/>
      <c r="T6" s="623" t="s">
        <v>423</v>
      </c>
      <c r="U6" s="624"/>
      <c r="V6" s="302"/>
      <c r="W6" s="302"/>
      <c r="X6" s="302"/>
      <c r="Y6" s="302"/>
      <c r="AE6" s="302"/>
      <c r="AF6" s="302"/>
    </row>
    <row r="7" spans="1:67" ht="19.95" customHeight="1" thickBot="1" x14ac:dyDescent="0.3">
      <c r="A7" s="354"/>
      <c r="B7" s="355" t="s">
        <v>179</v>
      </c>
      <c r="C7" s="355" t="s">
        <v>2</v>
      </c>
      <c r="D7" s="356" t="s">
        <v>390</v>
      </c>
      <c r="E7" s="302"/>
      <c r="F7" s="302"/>
      <c r="G7" s="302"/>
      <c r="H7" s="302"/>
      <c r="I7" s="302"/>
      <c r="J7" s="302"/>
      <c r="K7" s="302"/>
      <c r="L7" s="302"/>
      <c r="M7" s="302"/>
      <c r="N7" s="302"/>
      <c r="O7" s="302"/>
      <c r="P7" s="302"/>
      <c r="Q7" s="302"/>
      <c r="R7" s="302"/>
      <c r="S7" s="302"/>
      <c r="T7" s="342" t="s">
        <v>424</v>
      </c>
      <c r="U7" s="343" t="s">
        <v>425</v>
      </c>
      <c r="V7" s="302"/>
      <c r="W7" s="302"/>
      <c r="Y7" s="344" t="s">
        <v>440</v>
      </c>
      <c r="Z7" s="345">
        <v>4</v>
      </c>
      <c r="AA7" s="302"/>
      <c r="AB7" s="302"/>
      <c r="AC7" s="352" t="s">
        <v>448</v>
      </c>
      <c r="AD7" s="353">
        <v>7</v>
      </c>
      <c r="AG7" s="352" t="s">
        <v>449</v>
      </c>
      <c r="AH7" s="353">
        <v>7</v>
      </c>
      <c r="AK7" s="352" t="s">
        <v>450</v>
      </c>
      <c r="AL7" s="353">
        <v>4</v>
      </c>
    </row>
    <row r="8" spans="1:67" ht="19.95" customHeight="1" thickBot="1" x14ac:dyDescent="0.3">
      <c r="A8" s="357">
        <v>1</v>
      </c>
      <c r="B8" s="117" t="s">
        <v>394</v>
      </c>
      <c r="C8" s="117" t="s">
        <v>178</v>
      </c>
      <c r="D8" s="358">
        <v>4</v>
      </c>
      <c r="E8" s="302"/>
      <c r="F8" s="302"/>
      <c r="G8" s="302"/>
      <c r="H8" s="302"/>
      <c r="I8" s="302"/>
      <c r="J8" s="302"/>
      <c r="K8" s="302"/>
      <c r="L8" s="302"/>
      <c r="M8" s="302"/>
      <c r="N8" s="302"/>
      <c r="O8" s="302"/>
      <c r="P8" s="302"/>
      <c r="Q8" s="302"/>
      <c r="R8" s="302"/>
      <c r="S8" s="302"/>
      <c r="T8" s="346" t="s">
        <v>426</v>
      </c>
      <c r="U8" s="347" t="s">
        <v>427</v>
      </c>
      <c r="V8" s="302"/>
      <c r="W8" s="302"/>
      <c r="Y8" s="348">
        <v>8</v>
      </c>
      <c r="Z8" s="170">
        <v>12</v>
      </c>
      <c r="AA8" s="302"/>
      <c r="AB8" s="302"/>
      <c r="AC8" s="348">
        <v>12</v>
      </c>
      <c r="AD8" s="170">
        <v>19</v>
      </c>
      <c r="AG8" s="348">
        <v>19</v>
      </c>
      <c r="AH8" s="170">
        <v>26</v>
      </c>
      <c r="AK8" s="348">
        <v>26</v>
      </c>
      <c r="AL8" s="170">
        <v>30</v>
      </c>
      <c r="AP8" s="352" t="s">
        <v>451</v>
      </c>
      <c r="AQ8" s="353">
        <v>10</v>
      </c>
      <c r="AS8" s="352" t="s">
        <v>452</v>
      </c>
      <c r="AT8" s="353">
        <v>10</v>
      </c>
      <c r="AV8" s="352" t="s">
        <v>453</v>
      </c>
      <c r="AW8" s="353">
        <v>3</v>
      </c>
      <c r="AY8" s="352" t="s">
        <v>454</v>
      </c>
      <c r="AZ8" s="353">
        <v>3</v>
      </c>
      <c r="BB8" s="352" t="s">
        <v>455</v>
      </c>
      <c r="BC8" s="353">
        <v>4</v>
      </c>
      <c r="BE8" s="352" t="s">
        <v>456</v>
      </c>
      <c r="BF8" s="353">
        <v>3</v>
      </c>
      <c r="BH8" s="352" t="s">
        <v>457</v>
      </c>
      <c r="BI8" s="353">
        <v>6</v>
      </c>
      <c r="BK8" s="352" t="s">
        <v>458</v>
      </c>
      <c r="BL8" s="353">
        <v>6</v>
      </c>
      <c r="BN8" s="352" t="s">
        <v>459</v>
      </c>
      <c r="BO8" s="353">
        <v>6</v>
      </c>
    </row>
    <row r="9" spans="1:67" ht="19.95" customHeight="1" x14ac:dyDescent="0.25">
      <c r="A9" s="357">
        <v>2</v>
      </c>
      <c r="B9" s="117" t="s">
        <v>395</v>
      </c>
      <c r="C9" s="117">
        <v>1</v>
      </c>
      <c r="D9" s="358">
        <v>4</v>
      </c>
      <c r="E9" s="302"/>
      <c r="F9" s="302"/>
      <c r="G9" s="302"/>
      <c r="H9" s="302"/>
      <c r="I9" s="302"/>
      <c r="J9" s="302"/>
      <c r="K9" s="302"/>
      <c r="L9" s="302"/>
      <c r="M9" s="302"/>
      <c r="N9" s="302"/>
      <c r="O9" s="302"/>
      <c r="P9" s="302"/>
      <c r="Q9" s="302"/>
      <c r="R9" s="302"/>
      <c r="S9" s="302"/>
      <c r="T9" s="346" t="s">
        <v>428</v>
      </c>
      <c r="U9" s="347" t="s">
        <v>429</v>
      </c>
      <c r="V9" s="302"/>
      <c r="W9" s="302"/>
      <c r="Y9" s="349">
        <v>8</v>
      </c>
      <c r="Z9" s="137">
        <v>12</v>
      </c>
      <c r="AA9" s="302"/>
      <c r="AB9" s="302"/>
      <c r="AC9" s="349">
        <v>12</v>
      </c>
      <c r="AD9" s="137">
        <v>19</v>
      </c>
      <c r="AG9" s="349">
        <v>19</v>
      </c>
      <c r="AH9" s="137">
        <v>26</v>
      </c>
      <c r="AK9" s="349">
        <v>26</v>
      </c>
      <c r="AL9" s="137">
        <v>30</v>
      </c>
      <c r="AP9" s="348">
        <v>30</v>
      </c>
      <c r="AQ9" s="170">
        <v>40</v>
      </c>
      <c r="AS9" s="348">
        <v>40</v>
      </c>
      <c r="AT9" s="170">
        <v>50</v>
      </c>
      <c r="AV9" s="348">
        <v>50</v>
      </c>
      <c r="AW9" s="170">
        <v>53</v>
      </c>
      <c r="AY9" s="348">
        <v>53</v>
      </c>
      <c r="AZ9" s="170">
        <v>56</v>
      </c>
      <c r="BB9" s="348">
        <v>56</v>
      </c>
      <c r="BC9" s="170">
        <v>60</v>
      </c>
      <c r="BE9" s="348">
        <v>60</v>
      </c>
      <c r="BF9" s="170">
        <v>63</v>
      </c>
      <c r="BH9" s="348">
        <v>63</v>
      </c>
      <c r="BI9" s="170">
        <v>69</v>
      </c>
      <c r="BK9" s="170">
        <v>69</v>
      </c>
      <c r="BL9" s="170">
        <v>75</v>
      </c>
      <c r="BN9" s="170">
        <v>75</v>
      </c>
      <c r="BO9" s="170">
        <v>81</v>
      </c>
    </row>
    <row r="10" spans="1:67" ht="19.95" customHeight="1" thickBot="1" x14ac:dyDescent="0.3">
      <c r="A10" s="357">
        <v>3</v>
      </c>
      <c r="B10" s="117" t="s">
        <v>352</v>
      </c>
      <c r="C10" s="117">
        <v>2</v>
      </c>
      <c r="D10" s="358">
        <v>4</v>
      </c>
      <c r="E10" s="302"/>
      <c r="F10" s="302"/>
      <c r="G10" s="302"/>
      <c r="H10" s="302"/>
      <c r="I10" s="302"/>
      <c r="J10" s="302"/>
      <c r="K10" s="302"/>
      <c r="L10" s="302"/>
      <c r="M10" s="302"/>
      <c r="N10" s="302"/>
      <c r="O10" s="302"/>
      <c r="P10" s="302"/>
      <c r="Q10" s="302"/>
      <c r="R10" s="302"/>
      <c r="S10" s="302"/>
      <c r="T10" s="350" t="s">
        <v>430</v>
      </c>
      <c r="U10" s="351" t="s">
        <v>431</v>
      </c>
      <c r="V10" s="302"/>
      <c r="W10" s="302"/>
      <c r="Y10" s="338">
        <v>0</v>
      </c>
      <c r="Z10" s="338">
        <v>0</v>
      </c>
      <c r="AA10" s="302"/>
      <c r="AB10" s="302"/>
      <c r="AC10" s="338">
        <v>0</v>
      </c>
      <c r="AD10" s="338">
        <v>0</v>
      </c>
      <c r="AG10" s="338">
        <v>0</v>
      </c>
      <c r="AH10" s="338">
        <v>0</v>
      </c>
      <c r="AK10" s="338">
        <v>0</v>
      </c>
      <c r="AL10" s="338">
        <v>0</v>
      </c>
      <c r="AP10" s="349">
        <v>30</v>
      </c>
      <c r="AQ10" s="137">
        <v>40</v>
      </c>
      <c r="AS10" s="349">
        <v>40</v>
      </c>
      <c r="AT10" s="137">
        <v>50</v>
      </c>
      <c r="AV10" s="349">
        <v>50</v>
      </c>
      <c r="AW10" s="137">
        <v>53</v>
      </c>
      <c r="AY10" s="349">
        <v>53</v>
      </c>
      <c r="AZ10" s="137">
        <v>56</v>
      </c>
      <c r="BB10" s="349">
        <v>56</v>
      </c>
      <c r="BC10" s="137">
        <v>60</v>
      </c>
      <c r="BE10" s="349">
        <v>60</v>
      </c>
      <c r="BF10" s="137">
        <v>63</v>
      </c>
      <c r="BH10" s="349">
        <v>63</v>
      </c>
      <c r="BI10" s="137">
        <v>69</v>
      </c>
      <c r="BK10" s="137">
        <v>69</v>
      </c>
      <c r="BL10" s="137">
        <v>75</v>
      </c>
      <c r="BN10" s="137">
        <v>75</v>
      </c>
      <c r="BO10" s="137">
        <v>81</v>
      </c>
    </row>
    <row r="11" spans="1:67" ht="19.95" customHeight="1" thickBot="1" x14ac:dyDescent="0.3">
      <c r="A11" s="357">
        <v>4</v>
      </c>
      <c r="B11" s="117" t="s">
        <v>396</v>
      </c>
      <c r="C11" s="117">
        <v>2</v>
      </c>
      <c r="D11" s="358">
        <v>4</v>
      </c>
      <c r="E11" s="302"/>
      <c r="F11" s="302"/>
      <c r="G11" s="302"/>
      <c r="H11" s="302"/>
      <c r="I11" s="302"/>
      <c r="J11" s="302"/>
      <c r="K11" s="302"/>
      <c r="L11" s="302"/>
      <c r="M11" s="302"/>
      <c r="N11" s="302"/>
      <c r="O11" s="302"/>
      <c r="P11" s="302"/>
      <c r="Q11" s="302"/>
      <c r="R11" s="302"/>
      <c r="S11" s="302"/>
      <c r="T11" s="302"/>
      <c r="U11" s="302"/>
      <c r="V11" s="302"/>
      <c r="W11" s="302"/>
      <c r="X11" s="302"/>
      <c r="Y11" s="302"/>
      <c r="Z11" s="302"/>
      <c r="AE11" s="302"/>
      <c r="AF11" s="302"/>
      <c r="AP11" s="338">
        <v>0</v>
      </c>
      <c r="AQ11" s="338">
        <v>0</v>
      </c>
      <c r="AS11" s="338">
        <v>0</v>
      </c>
      <c r="AT11" s="338">
        <v>0</v>
      </c>
      <c r="AV11" s="338">
        <v>0</v>
      </c>
      <c r="AW11" s="338">
        <v>0</v>
      </c>
      <c r="AY11" s="338">
        <v>0</v>
      </c>
      <c r="AZ11" s="338">
        <v>0</v>
      </c>
      <c r="BB11" s="338">
        <v>0</v>
      </c>
      <c r="BC11" s="338">
        <v>0</v>
      </c>
      <c r="BE11" s="338">
        <v>0</v>
      </c>
      <c r="BF11" s="338">
        <v>0</v>
      </c>
      <c r="BH11" s="338">
        <v>0</v>
      </c>
      <c r="BI11" s="338">
        <v>0</v>
      </c>
      <c r="BK11" s="338">
        <v>0</v>
      </c>
      <c r="BL11" s="338">
        <v>0</v>
      </c>
      <c r="BN11" s="338">
        <v>0</v>
      </c>
      <c r="BO11" s="338">
        <v>0</v>
      </c>
    </row>
    <row r="12" spans="1:67" ht="19.95" customHeight="1" thickBot="1" x14ac:dyDescent="0.3">
      <c r="A12" s="357">
        <v>5</v>
      </c>
      <c r="B12" s="117" t="s">
        <v>310</v>
      </c>
      <c r="C12" s="117">
        <v>2</v>
      </c>
      <c r="D12" s="358">
        <v>4</v>
      </c>
      <c r="E12" s="302"/>
      <c r="F12" s="302"/>
      <c r="G12" s="302"/>
      <c r="H12" s="302"/>
      <c r="I12" s="302"/>
      <c r="J12" s="302"/>
      <c r="K12" s="302"/>
      <c r="L12" s="302"/>
      <c r="M12" s="302"/>
      <c r="N12" s="302"/>
      <c r="O12" s="302"/>
      <c r="P12" s="302"/>
      <c r="Q12" s="302"/>
      <c r="R12" s="302"/>
      <c r="S12" s="302"/>
      <c r="T12" s="302"/>
      <c r="U12" s="302"/>
      <c r="V12" s="302"/>
      <c r="W12" s="302"/>
      <c r="X12" s="302"/>
      <c r="Y12" s="302"/>
      <c r="AD12" s="352" t="s">
        <v>443</v>
      </c>
      <c r="AE12" s="353">
        <v>4</v>
      </c>
      <c r="AH12" s="352" t="s">
        <v>446</v>
      </c>
      <c r="AI12" s="353">
        <v>3</v>
      </c>
      <c r="AL12" s="352" t="s">
        <v>447</v>
      </c>
      <c r="AM12" s="353">
        <v>2</v>
      </c>
    </row>
    <row r="13" spans="1:67" ht="19.95" customHeight="1" thickBot="1" x14ac:dyDescent="0.3">
      <c r="A13" s="357">
        <v>6</v>
      </c>
      <c r="B13" s="166" t="s">
        <v>397</v>
      </c>
      <c r="C13" s="166" t="s">
        <v>432</v>
      </c>
      <c r="D13" s="358">
        <v>3</v>
      </c>
      <c r="E13" s="302"/>
      <c r="F13" s="302"/>
      <c r="G13" s="302"/>
      <c r="H13" s="302"/>
      <c r="I13" s="302"/>
      <c r="J13" s="302"/>
      <c r="K13" s="302"/>
      <c r="L13" s="302"/>
      <c r="M13" s="302"/>
      <c r="N13" s="302"/>
      <c r="O13" s="302"/>
      <c r="P13" s="302"/>
      <c r="Q13" s="302"/>
      <c r="R13" s="302"/>
      <c r="S13" s="344" t="s">
        <v>438</v>
      </c>
      <c r="T13" s="345">
        <v>4</v>
      </c>
      <c r="U13" s="302"/>
      <c r="V13" s="352" t="s">
        <v>439</v>
      </c>
      <c r="W13" s="353">
        <v>4</v>
      </c>
      <c r="X13" s="302"/>
      <c r="Y13" s="352" t="s">
        <v>441</v>
      </c>
      <c r="Z13" s="353">
        <v>4</v>
      </c>
      <c r="AD13" s="348">
        <v>12</v>
      </c>
      <c r="AE13" s="170">
        <v>15</v>
      </c>
      <c r="AH13" s="348">
        <v>15</v>
      </c>
      <c r="AI13" s="170">
        <v>18</v>
      </c>
      <c r="AL13" s="348">
        <v>18</v>
      </c>
      <c r="AM13" s="170">
        <v>20</v>
      </c>
    </row>
    <row r="14" spans="1:67" ht="19.95" customHeight="1" x14ac:dyDescent="0.25">
      <c r="A14" s="359">
        <v>7</v>
      </c>
      <c r="B14" s="360" t="s">
        <v>398</v>
      </c>
      <c r="C14" s="360" t="s">
        <v>432</v>
      </c>
      <c r="D14" s="361">
        <v>2</v>
      </c>
      <c r="E14" s="302"/>
      <c r="F14" s="302"/>
      <c r="G14" s="302"/>
      <c r="H14" s="302"/>
      <c r="I14" s="302"/>
      <c r="J14" s="302"/>
      <c r="K14" s="302"/>
      <c r="L14" s="302"/>
      <c r="M14" s="302"/>
      <c r="N14" s="302"/>
      <c r="O14" s="302"/>
      <c r="P14" s="302"/>
      <c r="Q14" s="302"/>
      <c r="R14" s="302"/>
      <c r="S14" s="348">
        <v>0</v>
      </c>
      <c r="T14" s="170">
        <v>4</v>
      </c>
      <c r="U14" s="302"/>
      <c r="V14" s="348">
        <v>4</v>
      </c>
      <c r="W14" s="170">
        <v>8</v>
      </c>
      <c r="X14" s="302"/>
      <c r="Y14" s="348">
        <v>8</v>
      </c>
      <c r="Z14" s="170">
        <v>12</v>
      </c>
      <c r="AD14" s="349">
        <v>16</v>
      </c>
      <c r="AE14" s="137">
        <v>19</v>
      </c>
      <c r="AH14" s="349">
        <v>19</v>
      </c>
      <c r="AI14" s="137">
        <v>22</v>
      </c>
      <c r="AL14" s="349">
        <v>22</v>
      </c>
      <c r="AM14" s="137">
        <v>24</v>
      </c>
    </row>
    <row r="15" spans="1:67" ht="19.95" customHeight="1" thickBot="1" x14ac:dyDescent="0.3">
      <c r="A15" s="357">
        <v>8</v>
      </c>
      <c r="B15" s="117" t="s">
        <v>399</v>
      </c>
      <c r="C15" s="360">
        <v>5</v>
      </c>
      <c r="D15" s="358">
        <v>2</v>
      </c>
      <c r="E15" s="302"/>
      <c r="F15" s="302"/>
      <c r="G15" s="302"/>
      <c r="H15" s="302"/>
      <c r="I15" s="302"/>
      <c r="J15" s="302"/>
      <c r="K15" s="302"/>
      <c r="L15" s="302"/>
      <c r="M15" s="302"/>
      <c r="N15" s="302"/>
      <c r="O15" s="302"/>
      <c r="P15" s="302"/>
      <c r="Q15" s="302"/>
      <c r="R15" s="302"/>
      <c r="S15" s="349">
        <f>T15-T13</f>
        <v>0</v>
      </c>
      <c r="T15" s="137">
        <v>4</v>
      </c>
      <c r="U15" s="302"/>
      <c r="V15" s="349">
        <v>4</v>
      </c>
      <c r="W15" s="137">
        <v>8</v>
      </c>
      <c r="X15" s="302"/>
      <c r="Y15" s="349">
        <v>12</v>
      </c>
      <c r="Z15" s="137">
        <v>16</v>
      </c>
      <c r="AD15" s="378">
        <v>4</v>
      </c>
      <c r="AE15" s="378">
        <v>4</v>
      </c>
      <c r="AH15" s="378">
        <v>4</v>
      </c>
      <c r="AI15" s="378">
        <v>4</v>
      </c>
      <c r="AL15" s="378">
        <v>4</v>
      </c>
      <c r="AM15" s="378">
        <v>4</v>
      </c>
      <c r="AU15" s="302"/>
      <c r="AV15" s="302"/>
    </row>
    <row r="16" spans="1:67" ht="19.95" customHeight="1" thickBot="1" x14ac:dyDescent="0.3">
      <c r="A16" s="362">
        <v>9</v>
      </c>
      <c r="B16" s="166" t="s">
        <v>400</v>
      </c>
      <c r="C16" s="166">
        <v>6</v>
      </c>
      <c r="D16" s="358">
        <v>3</v>
      </c>
      <c r="E16" s="302"/>
      <c r="F16" s="302"/>
      <c r="G16" s="302"/>
      <c r="H16" s="302"/>
      <c r="I16" s="302"/>
      <c r="J16" s="302"/>
      <c r="K16" s="302"/>
      <c r="L16" s="302"/>
      <c r="M16" s="302"/>
      <c r="N16" s="302"/>
      <c r="O16" s="302"/>
      <c r="P16" s="302"/>
      <c r="Q16" s="302"/>
      <c r="R16" s="302"/>
      <c r="S16" s="338">
        <f>S15-S14</f>
        <v>0</v>
      </c>
      <c r="T16" s="338">
        <f>T15-T14</f>
        <v>0</v>
      </c>
      <c r="U16" s="302"/>
      <c r="V16" s="338">
        <v>0</v>
      </c>
      <c r="W16" s="338">
        <v>0</v>
      </c>
      <c r="X16" s="302"/>
      <c r="Y16" s="378">
        <v>4</v>
      </c>
      <c r="Z16" s="378">
        <v>4</v>
      </c>
      <c r="AA16" s="302"/>
      <c r="AB16" s="302"/>
      <c r="AC16" s="302"/>
      <c r="AD16" s="302"/>
      <c r="AE16" s="302"/>
      <c r="AF16" s="302"/>
      <c r="AG16" s="302"/>
      <c r="AH16" s="302"/>
      <c r="AI16" s="302"/>
      <c r="AJ16" s="302"/>
      <c r="AK16" s="302"/>
      <c r="AL16" s="302"/>
      <c r="AM16" s="302"/>
      <c r="AN16" s="302"/>
      <c r="AO16" s="302"/>
      <c r="AP16" s="302"/>
      <c r="AQ16" s="302"/>
      <c r="AR16" s="302"/>
      <c r="AS16" s="302"/>
      <c r="AT16" s="302"/>
      <c r="AU16" s="302"/>
      <c r="AV16" s="302"/>
    </row>
    <row r="17" spans="1:56" ht="19.95" customHeight="1" thickBot="1" x14ac:dyDescent="0.3">
      <c r="A17" s="363">
        <v>10</v>
      </c>
      <c r="B17" s="363" t="s">
        <v>357</v>
      </c>
      <c r="C17" s="363" t="s">
        <v>433</v>
      </c>
      <c r="D17" s="364">
        <v>2</v>
      </c>
      <c r="E17" s="302"/>
      <c r="F17" s="302"/>
      <c r="G17" s="302"/>
      <c r="H17" s="302"/>
      <c r="I17" s="302"/>
      <c r="J17" s="302"/>
      <c r="K17" s="302"/>
      <c r="L17" s="302"/>
      <c r="M17" s="302"/>
      <c r="N17" s="302"/>
      <c r="O17" s="302"/>
      <c r="P17" s="302"/>
      <c r="Q17" s="302"/>
      <c r="R17" s="302"/>
      <c r="S17" s="302"/>
      <c r="T17" s="302"/>
      <c r="U17" s="302"/>
      <c r="V17" s="302"/>
      <c r="W17" s="302"/>
      <c r="X17" s="302"/>
      <c r="Y17" s="302"/>
      <c r="Z17" s="302"/>
      <c r="AA17" s="302"/>
      <c r="AB17" s="302"/>
      <c r="AC17" s="302"/>
      <c r="AD17" s="352" t="s">
        <v>444</v>
      </c>
      <c r="AE17" s="353">
        <v>3</v>
      </c>
      <c r="AF17" s="302"/>
      <c r="AG17" s="302"/>
      <c r="AH17" s="302"/>
      <c r="AI17" s="302"/>
      <c r="AJ17" s="302"/>
      <c r="AK17" s="302"/>
      <c r="AL17" s="302"/>
      <c r="AM17" s="302"/>
      <c r="AN17" s="302"/>
      <c r="AO17" s="302"/>
      <c r="AP17" s="302"/>
      <c r="AQ17" s="302"/>
      <c r="AR17" s="302"/>
      <c r="AS17" s="302"/>
      <c r="AT17" s="302"/>
      <c r="AU17" s="302"/>
      <c r="AV17" s="302"/>
      <c r="AW17" s="302"/>
    </row>
    <row r="18" spans="1:56" ht="19.95" customHeight="1" thickBot="1" x14ac:dyDescent="0.3">
      <c r="A18" s="360">
        <v>11</v>
      </c>
      <c r="B18" s="360" t="s">
        <v>316</v>
      </c>
      <c r="C18" s="360">
        <v>3</v>
      </c>
      <c r="D18" s="360">
        <v>7</v>
      </c>
      <c r="E18" s="302"/>
      <c r="F18" s="302"/>
      <c r="G18" s="302"/>
      <c r="H18" s="302"/>
      <c r="I18" s="302"/>
      <c r="J18" s="302"/>
      <c r="K18" s="302"/>
      <c r="L18" s="302"/>
      <c r="M18" s="302"/>
      <c r="N18" s="302"/>
      <c r="O18" s="302"/>
      <c r="P18" s="302"/>
      <c r="Q18" s="302"/>
      <c r="R18" s="302"/>
      <c r="S18" s="302"/>
      <c r="T18" s="302"/>
      <c r="U18" s="302"/>
      <c r="V18" s="302"/>
      <c r="W18" s="302"/>
      <c r="X18" s="302"/>
      <c r="Y18" s="302"/>
      <c r="Z18" s="302"/>
      <c r="AA18" s="302"/>
      <c r="AB18" s="302"/>
      <c r="AC18" s="302"/>
      <c r="AD18" s="348">
        <v>12</v>
      </c>
      <c r="AE18" s="170">
        <v>14</v>
      </c>
      <c r="AF18" s="302"/>
      <c r="AG18" s="302"/>
      <c r="AH18" s="302"/>
      <c r="AI18" s="302"/>
      <c r="AJ18" s="302"/>
      <c r="AK18" s="302"/>
      <c r="AL18" s="302"/>
      <c r="AM18" s="302"/>
      <c r="AN18" s="302"/>
      <c r="AO18" s="302"/>
      <c r="AP18" s="302"/>
      <c r="AQ18" s="302"/>
      <c r="AR18" s="302"/>
      <c r="AS18" s="302"/>
      <c r="AT18" s="302"/>
      <c r="AU18" s="302"/>
      <c r="AV18" s="302"/>
      <c r="AW18" s="302"/>
    </row>
    <row r="19" spans="1:56" ht="19.95" customHeight="1" thickBot="1" x14ac:dyDescent="0.3">
      <c r="A19" s="360">
        <v>12</v>
      </c>
      <c r="B19" s="360" t="s">
        <v>360</v>
      </c>
      <c r="C19" s="360">
        <v>11</v>
      </c>
      <c r="D19" s="360">
        <v>7</v>
      </c>
      <c r="E19" s="302"/>
      <c r="F19" s="302"/>
      <c r="G19" s="302"/>
      <c r="H19" s="302"/>
      <c r="I19" s="302"/>
      <c r="J19" s="302"/>
      <c r="K19" s="302"/>
      <c r="L19" s="302"/>
      <c r="M19" s="302"/>
      <c r="N19" s="302"/>
      <c r="O19" s="302"/>
      <c r="P19" s="302"/>
      <c r="Q19" s="302"/>
      <c r="R19" s="302"/>
      <c r="S19" s="302"/>
      <c r="T19" s="302"/>
      <c r="U19" s="302"/>
      <c r="V19" s="302"/>
      <c r="W19" s="302"/>
      <c r="X19" s="302"/>
      <c r="Y19" s="377" t="s">
        <v>442</v>
      </c>
      <c r="Z19" s="345">
        <v>4</v>
      </c>
      <c r="AA19" s="302"/>
      <c r="AB19" s="302"/>
      <c r="AC19" s="302"/>
      <c r="AD19" s="349">
        <v>16</v>
      </c>
      <c r="AE19" s="137">
        <v>18</v>
      </c>
      <c r="AF19" s="302"/>
      <c r="AG19" s="302"/>
      <c r="AH19" s="302"/>
      <c r="AI19" s="302"/>
      <c r="AJ19" s="302"/>
      <c r="AK19" s="302"/>
      <c r="AL19" s="302"/>
      <c r="AM19" s="302"/>
      <c r="AN19" s="302"/>
      <c r="AO19" s="302"/>
      <c r="AP19" s="302"/>
      <c r="AQ19" s="302"/>
      <c r="AR19" s="302"/>
      <c r="AS19" s="302"/>
      <c r="AT19" s="302"/>
    </row>
    <row r="20" spans="1:56" ht="19.95" customHeight="1" thickBot="1" x14ac:dyDescent="0.3">
      <c r="A20" s="360">
        <v>13</v>
      </c>
      <c r="B20" s="360" t="s">
        <v>401</v>
      </c>
      <c r="C20" s="360">
        <v>12</v>
      </c>
      <c r="D20" s="360">
        <v>4</v>
      </c>
      <c r="E20" s="302"/>
      <c r="F20" s="302"/>
      <c r="G20" s="302"/>
      <c r="H20" s="302"/>
      <c r="I20" s="302"/>
      <c r="J20" s="302"/>
      <c r="K20" s="302"/>
      <c r="L20" s="302"/>
      <c r="M20" s="302"/>
      <c r="N20" s="302"/>
      <c r="O20" s="302"/>
      <c r="P20" s="302"/>
      <c r="Q20" s="302"/>
      <c r="R20" s="302"/>
      <c r="S20" s="302"/>
      <c r="T20" s="302"/>
      <c r="U20" s="302"/>
      <c r="V20" s="302"/>
      <c r="W20" s="302"/>
      <c r="X20" s="302"/>
      <c r="Y20" s="135">
        <v>8</v>
      </c>
      <c r="Z20" s="170">
        <v>12</v>
      </c>
      <c r="AA20" s="302"/>
      <c r="AB20" s="302"/>
      <c r="AC20" s="302"/>
      <c r="AD20" s="378">
        <v>4</v>
      </c>
      <c r="AE20" s="378">
        <v>4</v>
      </c>
      <c r="AF20" s="302"/>
      <c r="AG20" s="302"/>
      <c r="AH20" s="302"/>
      <c r="AI20" s="302"/>
      <c r="AJ20" s="302"/>
      <c r="AK20" s="302"/>
      <c r="AL20" s="302"/>
      <c r="AM20" s="302"/>
      <c r="AN20" s="302"/>
      <c r="AO20" s="302"/>
      <c r="AP20" s="302"/>
      <c r="AQ20" s="302"/>
      <c r="AR20" s="302"/>
      <c r="AS20" s="302"/>
      <c r="AT20" s="302"/>
      <c r="AU20" s="302"/>
    </row>
    <row r="21" spans="1:56" ht="19.95" customHeight="1" thickBot="1" x14ac:dyDescent="0.3">
      <c r="A21" s="360">
        <v>14</v>
      </c>
      <c r="B21" s="360" t="s">
        <v>402</v>
      </c>
      <c r="C21" s="360" t="s">
        <v>403</v>
      </c>
      <c r="D21" s="360">
        <v>10</v>
      </c>
      <c r="E21" s="302"/>
      <c r="F21" s="302"/>
      <c r="G21" s="302"/>
      <c r="H21" s="302"/>
      <c r="I21" s="302"/>
      <c r="J21" s="302"/>
      <c r="K21" s="302"/>
      <c r="L21" s="302"/>
      <c r="M21" s="302"/>
      <c r="N21" s="302"/>
      <c r="O21" s="302"/>
      <c r="P21" s="302"/>
      <c r="Q21" s="302"/>
      <c r="R21" s="302"/>
      <c r="S21" s="302"/>
      <c r="T21" s="302"/>
      <c r="U21" s="302"/>
      <c r="V21" s="302"/>
      <c r="W21" s="302"/>
      <c r="X21" s="302"/>
      <c r="Y21" s="135">
        <v>12</v>
      </c>
      <c r="Z21" s="137">
        <v>16</v>
      </c>
      <c r="AA21" s="302"/>
      <c r="AB21" s="302"/>
      <c r="AC21" s="302"/>
      <c r="AD21" s="302"/>
      <c r="AE21" s="302"/>
      <c r="AF21" s="302"/>
      <c r="AG21" s="302"/>
      <c r="AH21" s="302"/>
      <c r="AI21" s="302"/>
      <c r="AJ21" s="302"/>
      <c r="AK21" s="302"/>
      <c r="AL21" s="302"/>
      <c r="AM21" s="302"/>
      <c r="AN21" s="302"/>
      <c r="AO21" s="302"/>
      <c r="AP21" s="302"/>
      <c r="AQ21" s="302"/>
      <c r="AR21" s="302"/>
      <c r="AS21" s="302"/>
      <c r="AT21" s="302"/>
      <c r="AU21" s="302"/>
    </row>
    <row r="22" spans="1:56" ht="19.95" customHeight="1" thickBot="1" x14ac:dyDescent="0.3">
      <c r="A22" s="360">
        <v>15</v>
      </c>
      <c r="B22" s="360" t="s">
        <v>404</v>
      </c>
      <c r="C22" s="360">
        <v>14</v>
      </c>
      <c r="D22" s="360">
        <v>10</v>
      </c>
      <c r="E22" s="302"/>
      <c r="F22" s="302"/>
      <c r="G22" s="302"/>
      <c r="H22" s="302"/>
      <c r="I22" s="302"/>
      <c r="J22" s="302"/>
      <c r="K22" s="302"/>
      <c r="L22" s="302"/>
      <c r="M22" s="302"/>
      <c r="N22" s="302"/>
      <c r="O22" s="302"/>
      <c r="P22" s="302"/>
      <c r="Q22" s="302"/>
      <c r="R22" s="302"/>
      <c r="S22" s="302"/>
      <c r="T22" s="302"/>
      <c r="U22" s="302"/>
      <c r="V22" s="302"/>
      <c r="W22" s="302"/>
      <c r="X22" s="302"/>
      <c r="Y22" s="378">
        <v>4</v>
      </c>
      <c r="Z22" s="378">
        <v>4</v>
      </c>
      <c r="AA22" s="302"/>
      <c r="AB22" s="302"/>
      <c r="AC22" s="302"/>
      <c r="AD22" s="352" t="s">
        <v>445</v>
      </c>
      <c r="AE22" s="353">
        <v>2</v>
      </c>
      <c r="AF22" s="302"/>
      <c r="AG22" s="302"/>
      <c r="AH22" s="302"/>
      <c r="AI22" s="302"/>
      <c r="AJ22" s="302"/>
      <c r="AK22" s="302"/>
      <c r="AL22" s="302"/>
      <c r="AM22" s="302"/>
      <c r="AN22" s="302"/>
      <c r="AO22" s="302"/>
      <c r="AP22" s="302"/>
      <c r="AQ22" s="302"/>
      <c r="AR22" s="302"/>
      <c r="AS22" s="302"/>
      <c r="AT22" s="302"/>
      <c r="AU22" s="302"/>
    </row>
    <row r="23" spans="1:56" ht="19.95" customHeight="1" x14ac:dyDescent="0.25">
      <c r="A23" s="360">
        <v>16</v>
      </c>
      <c r="B23" s="360" t="s">
        <v>405</v>
      </c>
      <c r="C23" s="360">
        <v>15</v>
      </c>
      <c r="D23" s="360">
        <v>3</v>
      </c>
      <c r="E23" s="302"/>
      <c r="F23" s="302"/>
      <c r="G23" s="302"/>
      <c r="H23" s="302"/>
      <c r="I23" s="302"/>
      <c r="J23" s="302"/>
      <c r="K23" s="302"/>
      <c r="L23" s="302"/>
      <c r="M23" s="302"/>
      <c r="N23" s="302"/>
      <c r="O23" s="302"/>
      <c r="P23" s="302"/>
      <c r="Q23" s="302"/>
      <c r="R23" s="302"/>
      <c r="S23" s="302"/>
      <c r="T23" s="302"/>
      <c r="U23" s="302"/>
      <c r="V23" s="302"/>
      <c r="W23" s="302"/>
      <c r="X23" s="302"/>
      <c r="Y23" s="302"/>
      <c r="Z23" s="302"/>
      <c r="AA23" s="302"/>
      <c r="AB23" s="302"/>
      <c r="AC23" s="302"/>
      <c r="AD23" s="348">
        <v>12</v>
      </c>
      <c r="AE23" s="170">
        <v>14</v>
      </c>
      <c r="AF23" s="302"/>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row>
    <row r="24" spans="1:56" ht="19.95" customHeight="1" x14ac:dyDescent="0.25">
      <c r="A24" s="360">
        <v>17</v>
      </c>
      <c r="B24" s="360" t="s">
        <v>363</v>
      </c>
      <c r="C24" s="360">
        <v>16</v>
      </c>
      <c r="D24" s="360">
        <v>3</v>
      </c>
      <c r="E24" s="302"/>
      <c r="F24" s="302"/>
      <c r="G24" s="302"/>
      <c r="H24" s="302"/>
      <c r="I24" s="302"/>
      <c r="J24" s="302"/>
      <c r="K24" s="302"/>
      <c r="L24" s="302"/>
      <c r="M24" s="302"/>
      <c r="N24" s="302"/>
      <c r="O24" s="302"/>
      <c r="P24" s="302"/>
      <c r="Q24" s="302"/>
      <c r="R24" s="302"/>
      <c r="S24" s="302"/>
      <c r="T24" s="302"/>
      <c r="U24" s="302"/>
      <c r="V24" s="302"/>
      <c r="W24" s="302"/>
      <c r="X24" s="302"/>
      <c r="Y24" s="302"/>
      <c r="Z24" s="302"/>
      <c r="AA24" s="302"/>
      <c r="AB24" s="302"/>
      <c r="AC24" s="302"/>
      <c r="AD24" s="349">
        <v>16</v>
      </c>
      <c r="AE24" s="137">
        <v>18</v>
      </c>
      <c r="AF24" s="302"/>
      <c r="AG24" s="302"/>
      <c r="AH24" s="302"/>
      <c r="AI24" s="302"/>
      <c r="AJ24" s="302"/>
      <c r="AK24" s="302"/>
      <c r="AL24" s="302"/>
      <c r="AM24" s="302"/>
      <c r="AN24" s="302"/>
      <c r="AO24" s="302"/>
      <c r="AP24" s="302"/>
    </row>
    <row r="25" spans="1:56" ht="19.95" customHeight="1" thickBot="1" x14ac:dyDescent="0.3">
      <c r="A25" s="365">
        <v>18</v>
      </c>
      <c r="B25" s="360" t="s">
        <v>406</v>
      </c>
      <c r="C25" s="360">
        <v>17</v>
      </c>
      <c r="D25" s="360">
        <v>4</v>
      </c>
      <c r="E25" s="302"/>
      <c r="F25" s="302"/>
      <c r="G25" s="302"/>
      <c r="H25" s="302"/>
      <c r="I25" s="302"/>
      <c r="J25" s="302"/>
      <c r="K25" s="302"/>
      <c r="L25" s="302"/>
      <c r="M25" s="302"/>
      <c r="N25" s="302"/>
      <c r="O25" s="302"/>
      <c r="P25" s="302"/>
      <c r="Q25" s="302"/>
      <c r="R25" s="302"/>
      <c r="S25" s="302"/>
      <c r="T25" s="302"/>
      <c r="U25" s="302"/>
      <c r="V25" s="302"/>
      <c r="W25" s="302"/>
      <c r="X25" s="302"/>
      <c r="Y25" s="302"/>
      <c r="Z25" s="302"/>
      <c r="AA25" s="302"/>
      <c r="AB25" s="302"/>
      <c r="AC25" s="302"/>
      <c r="AD25" s="378">
        <v>4</v>
      </c>
      <c r="AE25" s="378">
        <v>4</v>
      </c>
      <c r="AF25" s="302"/>
      <c r="AG25" s="302"/>
      <c r="AH25" s="302"/>
      <c r="AI25" s="302"/>
      <c r="AJ25" s="302"/>
      <c r="AK25" s="302"/>
      <c r="AL25" s="302"/>
      <c r="AM25" s="302"/>
      <c r="AN25" s="302"/>
      <c r="AO25" s="302"/>
      <c r="AP25" s="302"/>
    </row>
    <row r="26" spans="1:56" ht="19.95" customHeight="1" x14ac:dyDescent="0.25">
      <c r="A26" s="360">
        <v>19</v>
      </c>
      <c r="B26" s="360" t="s">
        <v>407</v>
      </c>
      <c r="C26" s="360">
        <v>18</v>
      </c>
      <c r="D26" s="360">
        <v>3</v>
      </c>
      <c r="E26" s="302"/>
      <c r="F26" s="302"/>
      <c r="G26" s="302"/>
      <c r="H26" s="302"/>
      <c r="I26" s="302"/>
      <c r="J26" s="302"/>
      <c r="K26" s="302"/>
      <c r="L26" s="302"/>
      <c r="M26" s="302"/>
      <c r="N26" s="302"/>
      <c r="O26" s="302"/>
      <c r="P26" s="302"/>
      <c r="Q26" s="302"/>
      <c r="R26" s="302"/>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row>
    <row r="27" spans="1:56" ht="19.95" customHeight="1" x14ac:dyDescent="0.25">
      <c r="A27" s="360">
        <v>20</v>
      </c>
      <c r="B27" s="360" t="s">
        <v>408</v>
      </c>
      <c r="C27" s="360">
        <v>19</v>
      </c>
      <c r="D27" s="360">
        <v>6</v>
      </c>
      <c r="E27" s="302"/>
      <c r="F27" s="302"/>
      <c r="G27" s="302"/>
      <c r="H27" s="302"/>
      <c r="I27" s="302"/>
      <c r="J27" s="302"/>
      <c r="K27" s="302"/>
      <c r="L27" s="302"/>
      <c r="M27" s="302"/>
      <c r="N27" s="302"/>
      <c r="O27" s="302"/>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row>
    <row r="28" spans="1:56" ht="19.95" customHeight="1" x14ac:dyDescent="0.25">
      <c r="A28" s="360">
        <v>21</v>
      </c>
      <c r="B28" s="360" t="s">
        <v>409</v>
      </c>
      <c r="C28" s="360">
        <v>20</v>
      </c>
      <c r="D28" s="360">
        <v>6</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row>
    <row r="29" spans="1:56" ht="19.95" customHeight="1" x14ac:dyDescent="0.25">
      <c r="A29" s="360">
        <v>22</v>
      </c>
      <c r="B29" s="360" t="s">
        <v>410</v>
      </c>
      <c r="C29" s="360">
        <v>21</v>
      </c>
      <c r="D29" s="360">
        <v>6</v>
      </c>
      <c r="E29" s="302"/>
      <c r="F29" s="302"/>
      <c r="G29" s="302"/>
      <c r="H29" s="302"/>
      <c r="I29" s="302"/>
      <c r="J29" s="302"/>
      <c r="K29" s="302"/>
      <c r="L29" s="302"/>
      <c r="M29" s="302"/>
      <c r="N29" s="302"/>
      <c r="O29" s="302"/>
      <c r="P29" s="302"/>
      <c r="Q29" s="302"/>
      <c r="R29" s="302"/>
      <c r="S29" s="302"/>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row>
    <row r="30" spans="1:56" ht="19.95" customHeight="1" thickBot="1" x14ac:dyDescent="0.3">
      <c r="A30" s="366"/>
      <c r="B30" s="371"/>
      <c r="C30" s="372"/>
      <c r="D30" s="367"/>
      <c r="E30" s="302"/>
      <c r="F30" s="302"/>
      <c r="G30" s="302"/>
      <c r="H30" s="302"/>
      <c r="I30" s="302"/>
      <c r="J30" s="302"/>
      <c r="K30" s="302"/>
      <c r="L30" s="302"/>
      <c r="M30" s="302"/>
      <c r="N30" s="302"/>
      <c r="O30" s="302"/>
      <c r="P30" s="302"/>
      <c r="Q30" s="302"/>
      <c r="R30" s="302"/>
      <c r="S30" s="302"/>
      <c r="T30" s="302"/>
      <c r="U30" s="302"/>
      <c r="V30" s="302"/>
      <c r="W30" s="302"/>
      <c r="X30" s="302"/>
      <c r="Y30" s="302"/>
      <c r="Z30" s="302"/>
      <c r="AA30" s="302"/>
      <c r="AB30" s="302"/>
      <c r="AC30" s="302"/>
      <c r="AD30" s="302"/>
      <c r="AE30" s="302"/>
      <c r="AF30" s="302"/>
      <c r="AG30" s="302"/>
      <c r="AH30" s="302"/>
      <c r="AI30" s="302"/>
      <c r="AJ30" s="302"/>
      <c r="AK30" s="302"/>
      <c r="AL30" s="302"/>
      <c r="AM30" s="302"/>
      <c r="AN30" s="302"/>
      <c r="AO30" s="302"/>
      <c r="AP30" s="302"/>
    </row>
    <row r="31" spans="1:56" x14ac:dyDescent="0.25">
      <c r="B31" s="302"/>
      <c r="C31" s="302"/>
      <c r="D31" s="302"/>
      <c r="E31" s="302"/>
      <c r="F31" s="302"/>
      <c r="G31" s="302"/>
      <c r="H31" s="302"/>
      <c r="I31" s="302"/>
      <c r="J31" s="302"/>
      <c r="K31" s="302"/>
      <c r="L31" s="302"/>
      <c r="M31" s="302"/>
      <c r="N31" s="302"/>
      <c r="O31" s="302"/>
      <c r="P31" s="302"/>
      <c r="Q31" s="302"/>
      <c r="R31" s="302"/>
      <c r="S31" s="302"/>
      <c r="T31" s="302"/>
      <c r="U31" s="302"/>
      <c r="V31" s="302"/>
      <c r="W31" s="302"/>
      <c r="Y31" s="302"/>
      <c r="Z31" s="302"/>
      <c r="AA31" s="302"/>
      <c r="AB31" s="302"/>
      <c r="AC31" s="302"/>
      <c r="AD31" s="302"/>
      <c r="AE31" s="302"/>
      <c r="AF31" s="302"/>
      <c r="AG31" s="302"/>
      <c r="AH31" s="302"/>
      <c r="AI31" s="302"/>
      <c r="AJ31" s="302"/>
      <c r="AK31" s="302"/>
      <c r="AL31" s="302"/>
      <c r="AM31" s="302"/>
      <c r="AN31" s="302"/>
      <c r="AO31" s="302"/>
      <c r="AP31" s="302"/>
    </row>
  </sheetData>
  <mergeCells count="1">
    <mergeCell ref="T6:U6"/>
  </mergeCells>
  <conditionalFormatting sqref="S16:T16">
    <cfRule type="cellIs" dxfId="30" priority="30" operator="equal">
      <formula>0</formula>
    </cfRule>
  </conditionalFormatting>
  <conditionalFormatting sqref="V16:W16">
    <cfRule type="cellIs" dxfId="29" priority="28" operator="equal">
      <formula>0</formula>
    </cfRule>
  </conditionalFormatting>
  <conditionalFormatting sqref="Y10:Z10">
    <cfRule type="cellIs" dxfId="28" priority="20" operator="equal">
      <formula>0</formula>
    </cfRule>
  </conditionalFormatting>
  <conditionalFormatting sqref="Y16:Z16">
    <cfRule type="cellIs" dxfId="27" priority="18" operator="equal">
      <formula>0</formula>
    </cfRule>
  </conditionalFormatting>
  <conditionalFormatting sqref="Y22:Z22">
    <cfRule type="cellIs" dxfId="26" priority="19" operator="equal">
      <formula>0</formula>
    </cfRule>
  </conditionalFormatting>
  <conditionalFormatting sqref="AC10:AD10">
    <cfRule type="cellIs" dxfId="25" priority="14" operator="equal">
      <formula>0</formula>
    </cfRule>
  </conditionalFormatting>
  <conditionalFormatting sqref="AD15:AE15">
    <cfRule type="cellIs" dxfId="24" priority="17" operator="equal">
      <formula>0</formula>
    </cfRule>
  </conditionalFormatting>
  <conditionalFormatting sqref="AD20:AE20">
    <cfRule type="cellIs" dxfId="23" priority="16" operator="equal">
      <formula>0</formula>
    </cfRule>
  </conditionalFormatting>
  <conditionalFormatting sqref="AD25:AE25">
    <cfRule type="cellIs" dxfId="22" priority="15" operator="equal">
      <formula>0</formula>
    </cfRule>
  </conditionalFormatting>
  <conditionalFormatting sqref="AG10:AH10">
    <cfRule type="cellIs" dxfId="21" priority="13" operator="equal">
      <formula>0</formula>
    </cfRule>
  </conditionalFormatting>
  <conditionalFormatting sqref="AH15:AI15">
    <cfRule type="cellIs" dxfId="20" priority="11" operator="equal">
      <formula>0</formula>
    </cfRule>
  </conditionalFormatting>
  <conditionalFormatting sqref="AK10:AL10">
    <cfRule type="cellIs" dxfId="19" priority="12" operator="equal">
      <formula>0</formula>
    </cfRule>
  </conditionalFormatting>
  <conditionalFormatting sqref="AL15:AM15">
    <cfRule type="cellIs" dxfId="18" priority="10" operator="equal">
      <formula>0</formula>
    </cfRule>
  </conditionalFormatting>
  <conditionalFormatting sqref="AP11:AQ11">
    <cfRule type="cellIs" dxfId="17" priority="9" operator="equal">
      <formula>0</formula>
    </cfRule>
  </conditionalFormatting>
  <conditionalFormatting sqref="AS11:AT11">
    <cfRule type="cellIs" dxfId="16" priority="8" operator="equal">
      <formula>0</formula>
    </cfRule>
  </conditionalFormatting>
  <conditionalFormatting sqref="AV11:AW11">
    <cfRule type="cellIs" dxfId="15" priority="7" operator="equal">
      <formula>0</formula>
    </cfRule>
  </conditionalFormatting>
  <conditionalFormatting sqref="AY11:AZ11">
    <cfRule type="cellIs" dxfId="14" priority="6" operator="equal">
      <formula>0</formula>
    </cfRule>
  </conditionalFormatting>
  <conditionalFormatting sqref="BB11:BC11">
    <cfRule type="cellIs" dxfId="13" priority="5" operator="equal">
      <formula>0</formula>
    </cfRule>
  </conditionalFormatting>
  <conditionalFormatting sqref="BE11:BF11">
    <cfRule type="cellIs" dxfId="12" priority="4" operator="equal">
      <formula>0</formula>
    </cfRule>
  </conditionalFormatting>
  <conditionalFormatting sqref="BH11:BI11">
    <cfRule type="cellIs" dxfId="11" priority="3" operator="equal">
      <formula>0</formula>
    </cfRule>
  </conditionalFormatting>
  <conditionalFormatting sqref="BK11:BL11">
    <cfRule type="cellIs" dxfId="10" priority="2" operator="equal">
      <formula>0</formula>
    </cfRule>
  </conditionalFormatting>
  <conditionalFormatting sqref="BN11:BO11">
    <cfRule type="cellIs" dxfId="9" priority="1" operator="equal">
      <formula>0</formula>
    </cfRule>
  </conditionalFormatting>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EBFEC-6139-42F9-90AC-51CD6FDF4616}">
  <dimension ref="B2:Q31"/>
  <sheetViews>
    <sheetView showGridLines="0" zoomScale="82" zoomScaleNormal="80" workbookViewId="0">
      <pane xSplit="2" ySplit="4" topLeftCell="C11" activePane="bottomRight" state="frozen"/>
      <selection activeCell="D16" sqref="D16:D17"/>
      <selection pane="topRight" activeCell="D16" sqref="D16:D17"/>
      <selection pane="bottomLeft" activeCell="D16" sqref="D16:D17"/>
      <selection pane="bottomRight" activeCell="E6" sqref="E6"/>
    </sheetView>
  </sheetViews>
  <sheetFormatPr defaultColWidth="9.33203125" defaultRowHeight="14.4" x14ac:dyDescent="0.3"/>
  <cols>
    <col min="1" max="1" width="2.6640625" style="379" customWidth="1"/>
    <col min="2" max="2" width="35.6640625" style="379" customWidth="1"/>
    <col min="3" max="3" width="29.88671875" style="379" customWidth="1"/>
    <col min="4" max="4" width="23.44140625" style="379" customWidth="1"/>
    <col min="5" max="5" width="13.6640625" style="379" customWidth="1"/>
    <col min="6" max="6" width="14.33203125" style="379" customWidth="1"/>
    <col min="7" max="16" width="12.6640625" style="379" bestFit="1" customWidth="1"/>
    <col min="17" max="17" width="12.5546875" style="379" bestFit="1" customWidth="1"/>
    <col min="18" max="16384" width="9.33203125" style="379"/>
  </cols>
  <sheetData>
    <row r="2" spans="2:17" x14ac:dyDescent="0.3">
      <c r="B2" s="625" t="s">
        <v>484</v>
      </c>
      <c r="C2" s="625"/>
      <c r="D2" s="626" t="s">
        <v>483</v>
      </c>
      <c r="E2" s="626"/>
      <c r="F2" s="626"/>
      <c r="G2" s="626"/>
      <c r="H2" s="626"/>
      <c r="I2" s="626"/>
      <c r="J2" s="626"/>
      <c r="K2" s="626"/>
      <c r="L2" s="626"/>
      <c r="M2" s="626"/>
      <c r="N2" s="626"/>
      <c r="O2" s="626"/>
      <c r="P2" s="626"/>
      <c r="Q2" s="406"/>
    </row>
    <row r="3" spans="2:17" ht="17.399999999999999" customHeight="1" x14ac:dyDescent="0.3">
      <c r="B3" s="413" t="s">
        <v>482</v>
      </c>
      <c r="C3" s="412" t="str">
        <f>[4]Param!C17</f>
        <v>Fidelize</v>
      </c>
      <c r="D3" s="400"/>
      <c r="E3" s="411">
        <f>[4]Param!C18</f>
        <v>45870</v>
      </c>
      <c r="F3" s="410">
        <f>DATE(YEAR(E3),MONTH(E3)+1,DAY(E3))</f>
        <v>45901</v>
      </c>
      <c r="G3" s="410">
        <f>DATE(YEAR(F3),MONTH(F3)+1,DAY(F3))</f>
        <v>45931</v>
      </c>
      <c r="H3" s="410">
        <f>DATE(YEAR(G3),MONTH(G3)+1,DAY(G3))</f>
        <v>45962</v>
      </c>
      <c r="I3" s="410">
        <f>DATE(YEAR(H3),MONTH(H3)+1,DAY(H3))</f>
        <v>45992</v>
      </c>
      <c r="J3" s="406" t="s">
        <v>34</v>
      </c>
    </row>
    <row r="4" spans="2:17" ht="25.2" customHeight="1" x14ac:dyDescent="0.3">
      <c r="B4" s="409" t="s">
        <v>481</v>
      </c>
      <c r="C4" s="408" t="str">
        <f>[4]Param!C19</f>
        <v>Cannoli</v>
      </c>
      <c r="D4" s="407">
        <v>0</v>
      </c>
      <c r="E4" s="407">
        <v>1</v>
      </c>
      <c r="F4" s="407">
        <f>E4+1</f>
        <v>2</v>
      </c>
      <c r="G4" s="407">
        <f>F4+1</f>
        <v>3</v>
      </c>
      <c r="H4" s="407">
        <f>G4+1</f>
        <v>4</v>
      </c>
      <c r="I4" s="407">
        <f>H4+1</f>
        <v>5</v>
      </c>
      <c r="J4" s="406"/>
    </row>
    <row r="5" spans="2:17" ht="25.2" customHeight="1" x14ac:dyDescent="0.3">
      <c r="B5" s="403" t="s">
        <v>480</v>
      </c>
      <c r="C5" s="405">
        <v>150000</v>
      </c>
      <c r="D5" s="402">
        <f>SUM(D9+D11+D13+D15+D17+D19+D21+D23+D25+D27+D29)</f>
        <v>155000</v>
      </c>
      <c r="E5" s="402" t="e">
        <f>SUM(#REF!)+E9+E11+E13+E15+E17+E19+E21+E23+E25+E27+E29</f>
        <v>#REF!</v>
      </c>
      <c r="F5" s="402" t="e">
        <f>SUM(#REF!)+F9+F11+F13+F15+F17+F19+F21+F23+F25+F27</f>
        <v>#REF!</v>
      </c>
      <c r="G5" s="402" t="e">
        <f>SUM(#REF!)+G9+G11+G13+G15+G17+G19+G21+G23+G25+G27</f>
        <v>#REF!</v>
      </c>
      <c r="H5" s="402" t="e">
        <f>SUM(#REF!)+H9+H11+H13+H15+H17+H19+H21+H23+H25+H27</f>
        <v>#REF!</v>
      </c>
      <c r="I5" s="402" t="e">
        <f>SUM(#REF!)+I9+I11+I13+I15+I17+I19+I21+I23+I25+I27</f>
        <v>#REF!</v>
      </c>
      <c r="J5" s="404" t="e">
        <f>SUM(D5:I5)</f>
        <v>#REF!</v>
      </c>
    </row>
    <row r="6" spans="2:17" x14ac:dyDescent="0.3">
      <c r="B6" s="403" t="s">
        <v>479</v>
      </c>
      <c r="C6" s="379">
        <v>0</v>
      </c>
      <c r="D6" s="402">
        <f>D5</f>
        <v>155000</v>
      </c>
      <c r="E6" s="402" t="e">
        <f>D6+E5</f>
        <v>#REF!</v>
      </c>
      <c r="F6" s="402" t="e">
        <f>E6+F5</f>
        <v>#REF!</v>
      </c>
      <c r="G6" s="402" t="e">
        <f>F6+G5</f>
        <v>#REF!</v>
      </c>
      <c r="H6" s="402" t="e">
        <f>G6+H5</f>
        <v>#REF!</v>
      </c>
      <c r="I6" s="402" t="e">
        <f>H6+I5</f>
        <v>#REF!</v>
      </c>
    </row>
    <row r="7" spans="2:17" x14ac:dyDescent="0.3">
      <c r="B7" s="400" t="s">
        <v>478</v>
      </c>
      <c r="C7" s="401" t="s">
        <v>477</v>
      </c>
      <c r="D7" s="401"/>
    </row>
    <row r="8" spans="2:17" x14ac:dyDescent="0.3">
      <c r="B8" s="400" t="s">
        <v>476</v>
      </c>
      <c r="C8" s="393" t="s">
        <v>475</v>
      </c>
      <c r="D8" s="392"/>
      <c r="E8" s="392"/>
      <c r="F8" s="391"/>
      <c r="G8" s="390"/>
      <c r="H8" s="390"/>
      <c r="I8" s="390"/>
      <c r="J8" s="389"/>
    </row>
    <row r="9" spans="2:17" ht="86.4" x14ac:dyDescent="0.3">
      <c r="B9" s="399" t="s">
        <v>54</v>
      </c>
      <c r="C9" s="398" t="s">
        <v>474</v>
      </c>
      <c r="D9" s="386">
        <v>7700</v>
      </c>
      <c r="E9" s="386">
        <v>3500</v>
      </c>
      <c r="F9" s="385">
        <f>E9*(1+F8)</f>
        <v>3500</v>
      </c>
      <c r="G9" s="385">
        <v>500</v>
      </c>
      <c r="H9" s="385">
        <v>0</v>
      </c>
      <c r="I9" s="385">
        <f>H9*(1+I8)</f>
        <v>0</v>
      </c>
      <c r="J9" s="384">
        <f>SUM(E9:I9)</f>
        <v>7500</v>
      </c>
    </row>
    <row r="10" spans="2:17" x14ac:dyDescent="0.3">
      <c r="B10" s="394" t="s">
        <v>462</v>
      </c>
      <c r="C10" s="393" t="s">
        <v>461</v>
      </c>
      <c r="D10" s="392"/>
      <c r="E10" s="392"/>
      <c r="F10" s="391">
        <v>0.1</v>
      </c>
      <c r="G10" s="390">
        <f>F10</f>
        <v>0.1</v>
      </c>
      <c r="H10" s="390">
        <f>G10</f>
        <v>0.1</v>
      </c>
      <c r="I10" s="390">
        <f>H10</f>
        <v>0.1</v>
      </c>
      <c r="J10" s="389"/>
    </row>
    <row r="11" spans="2:17" ht="129.6" x14ac:dyDescent="0.3">
      <c r="B11" s="397" t="s">
        <v>56</v>
      </c>
      <c r="C11" s="396" t="s">
        <v>473</v>
      </c>
      <c r="D11" s="386">
        <v>17000</v>
      </c>
      <c r="E11" s="386">
        <v>794.96</v>
      </c>
      <c r="F11" s="385">
        <f>E11*(1+F10)</f>
        <v>874.45600000000013</v>
      </c>
      <c r="G11" s="385">
        <f>F11*(1+G10)</f>
        <v>961.90160000000026</v>
      </c>
      <c r="H11" s="385">
        <f>G11*(1+H10)</f>
        <v>1058.0917600000005</v>
      </c>
      <c r="I11" s="385">
        <f>H11*(1+I10)</f>
        <v>1163.9009360000007</v>
      </c>
      <c r="J11" s="384">
        <f>SUM(E11:I11)</f>
        <v>4853.3102960000015</v>
      </c>
    </row>
    <row r="12" spans="2:17" x14ac:dyDescent="0.3">
      <c r="B12" s="394" t="s">
        <v>462</v>
      </c>
      <c r="C12" s="393" t="s">
        <v>461</v>
      </c>
      <c r="D12" s="392"/>
      <c r="E12" s="392"/>
      <c r="F12" s="391">
        <v>0.1</v>
      </c>
      <c r="G12" s="390">
        <f>F12</f>
        <v>0.1</v>
      </c>
      <c r="H12" s="390">
        <f>G12</f>
        <v>0.1</v>
      </c>
      <c r="I12" s="390">
        <f>H12</f>
        <v>0.1</v>
      </c>
      <c r="J12" s="389"/>
    </row>
    <row r="13" spans="2:17" ht="100.8" x14ac:dyDescent="0.3">
      <c r="B13" s="397" t="s">
        <v>63</v>
      </c>
      <c r="C13" s="396" t="s">
        <v>472</v>
      </c>
      <c r="D13" s="386">
        <v>13200</v>
      </c>
      <c r="E13" s="386">
        <v>617.29</v>
      </c>
      <c r="F13" s="385">
        <f>E13*(1+F12)</f>
        <v>679.01900000000001</v>
      </c>
      <c r="G13" s="385">
        <f>F13*(1+G12)</f>
        <v>746.92090000000007</v>
      </c>
      <c r="H13" s="385">
        <f>G13*(1+H12)</f>
        <v>821.6129900000002</v>
      </c>
      <c r="I13" s="385">
        <f>H13*(1+I12)</f>
        <v>903.77428900000029</v>
      </c>
      <c r="J13" s="384">
        <f>SUM(E13:I13)</f>
        <v>3768.6171790000008</v>
      </c>
    </row>
    <row r="14" spans="2:17" x14ac:dyDescent="0.3">
      <c r="B14" s="394" t="s">
        <v>462</v>
      </c>
      <c r="C14" s="393" t="s">
        <v>461</v>
      </c>
      <c r="D14" s="392"/>
      <c r="E14" s="392"/>
      <c r="F14" s="391">
        <v>0.1</v>
      </c>
      <c r="G14" s="390">
        <f>F14</f>
        <v>0.1</v>
      </c>
      <c r="H14" s="390">
        <f>G14</f>
        <v>0.1</v>
      </c>
      <c r="I14" s="390">
        <f>H14</f>
        <v>0.1</v>
      </c>
      <c r="J14" s="389"/>
    </row>
    <row r="15" spans="2:17" ht="72" x14ac:dyDescent="0.3">
      <c r="B15" s="388" t="s">
        <v>71</v>
      </c>
      <c r="C15" s="396" t="s">
        <v>471</v>
      </c>
      <c r="D15" s="386">
        <v>32000</v>
      </c>
      <c r="E15" s="386">
        <v>1496.43</v>
      </c>
      <c r="F15" s="385">
        <f>E15*(1+F14)</f>
        <v>1646.0730000000001</v>
      </c>
      <c r="G15" s="385">
        <f>F15*(1+G14)</f>
        <v>1810.6803000000002</v>
      </c>
      <c r="H15" s="385">
        <f>G15*(1+H14)</f>
        <v>1991.7483300000004</v>
      </c>
      <c r="I15" s="385">
        <f>H15*(1+I14)</f>
        <v>2190.9231630000004</v>
      </c>
      <c r="J15" s="384">
        <f>SUM(E15:I15)</f>
        <v>9135.8547930000022</v>
      </c>
    </row>
    <row r="16" spans="2:17" x14ac:dyDescent="0.3">
      <c r="B16" s="394" t="s">
        <v>462</v>
      </c>
      <c r="C16" s="393" t="s">
        <v>461</v>
      </c>
      <c r="D16" s="392"/>
      <c r="E16" s="392"/>
      <c r="F16" s="391">
        <v>0.1</v>
      </c>
      <c r="G16" s="390">
        <f>F16</f>
        <v>0.1</v>
      </c>
      <c r="H16" s="390">
        <f>G16</f>
        <v>0.1</v>
      </c>
      <c r="I16" s="390">
        <f>H16</f>
        <v>0.1</v>
      </c>
      <c r="J16" s="389"/>
    </row>
    <row r="17" spans="2:10" x14ac:dyDescent="0.3">
      <c r="B17" s="388" t="s">
        <v>470</v>
      </c>
      <c r="C17" s="387" t="s">
        <v>469</v>
      </c>
      <c r="D17" s="395">
        <v>5000</v>
      </c>
      <c r="E17" s="386">
        <v>233.8</v>
      </c>
      <c r="F17" s="385">
        <f>E17*(1+F16)</f>
        <v>257.18</v>
      </c>
      <c r="G17" s="385">
        <f>F17*(1+G16)</f>
        <v>282.89800000000002</v>
      </c>
      <c r="H17" s="385">
        <f>G17*(1+H16)</f>
        <v>311.18780000000004</v>
      </c>
      <c r="I17" s="385">
        <f>H17*(1+I16)</f>
        <v>342.30658000000005</v>
      </c>
      <c r="J17" s="384">
        <f>SUM(E17:I17)</f>
        <v>1427.3723800000002</v>
      </c>
    </row>
    <row r="18" spans="2:10" x14ac:dyDescent="0.3">
      <c r="B18" s="394" t="s">
        <v>462</v>
      </c>
      <c r="C18" s="393" t="s">
        <v>461</v>
      </c>
      <c r="D18" s="392"/>
      <c r="E18" s="392"/>
      <c r="F18" s="391">
        <v>0.1</v>
      </c>
      <c r="G18" s="390">
        <f>F18</f>
        <v>0.1</v>
      </c>
      <c r="H18" s="390">
        <f>G18</f>
        <v>0.1</v>
      </c>
      <c r="I18" s="390">
        <f>H18</f>
        <v>0.1</v>
      </c>
      <c r="J18" s="389"/>
    </row>
    <row r="19" spans="2:10" x14ac:dyDescent="0.3">
      <c r="B19" s="388" t="s">
        <v>468</v>
      </c>
      <c r="C19" s="387" t="s">
        <v>467</v>
      </c>
      <c r="D19" s="386">
        <v>11600</v>
      </c>
      <c r="E19" s="386">
        <v>542.45000000000005</v>
      </c>
      <c r="F19" s="385">
        <f>E19*(1+F18)</f>
        <v>596.69500000000005</v>
      </c>
      <c r="G19" s="385">
        <f>F19*(1+G18)</f>
        <v>656.36450000000013</v>
      </c>
      <c r="H19" s="385">
        <f>G19*(1+H18)</f>
        <v>722.00095000000022</v>
      </c>
      <c r="I19" s="385">
        <f>H19*(1+I18)</f>
        <v>794.20104500000025</v>
      </c>
      <c r="J19" s="384">
        <f>SUM(E19:I19)</f>
        <v>3311.7114950000005</v>
      </c>
    </row>
    <row r="20" spans="2:10" x14ac:dyDescent="0.3">
      <c r="B20" s="394" t="s">
        <v>462</v>
      </c>
      <c r="C20" s="393" t="s">
        <v>461</v>
      </c>
      <c r="D20" s="392"/>
      <c r="E20" s="392"/>
      <c r="F20" s="391">
        <v>0.1</v>
      </c>
      <c r="G20" s="390">
        <f>F20</f>
        <v>0.1</v>
      </c>
      <c r="H20" s="390">
        <f>G20</f>
        <v>0.1</v>
      </c>
      <c r="I20" s="390">
        <f>H20</f>
        <v>0.1</v>
      </c>
      <c r="J20" s="389"/>
    </row>
    <row r="21" spans="2:10" x14ac:dyDescent="0.3">
      <c r="B21" s="388" t="s">
        <v>181</v>
      </c>
      <c r="C21" s="387" t="s">
        <v>466</v>
      </c>
      <c r="D21" s="386">
        <v>18600</v>
      </c>
      <c r="E21" s="386">
        <v>869.8</v>
      </c>
      <c r="F21" s="385">
        <f>E21*(1+F20)</f>
        <v>956.78</v>
      </c>
      <c r="G21" s="385">
        <f>F21*(1+G20)</f>
        <v>1052.4580000000001</v>
      </c>
      <c r="H21" s="385">
        <f>G21*(1+H20)</f>
        <v>1157.7038000000002</v>
      </c>
      <c r="I21" s="385">
        <f>H21*(1+I20)</f>
        <v>1273.4741800000004</v>
      </c>
      <c r="J21" s="384">
        <f>SUM(E21:I21)</f>
        <v>5310.2159800000009</v>
      </c>
    </row>
    <row r="22" spans="2:10" x14ac:dyDescent="0.3">
      <c r="B22" s="394" t="s">
        <v>462</v>
      </c>
      <c r="C22" s="393" t="s">
        <v>461</v>
      </c>
      <c r="D22" s="392"/>
      <c r="E22" s="392"/>
      <c r="F22" s="391">
        <v>0.1</v>
      </c>
      <c r="G22" s="390">
        <f>F22</f>
        <v>0.1</v>
      </c>
      <c r="H22" s="390">
        <f>G22</f>
        <v>0.1</v>
      </c>
      <c r="I22" s="390">
        <f>H22</f>
        <v>0.1</v>
      </c>
      <c r="J22" s="389"/>
    </row>
    <row r="23" spans="2:10" x14ac:dyDescent="0.3">
      <c r="B23" s="388" t="s">
        <v>180</v>
      </c>
      <c r="C23" s="387" t="s">
        <v>465</v>
      </c>
      <c r="D23" s="386">
        <v>11000</v>
      </c>
      <c r="E23" s="386">
        <v>514.4</v>
      </c>
      <c r="F23" s="385">
        <f>E23*(1+F22)</f>
        <v>565.84</v>
      </c>
      <c r="G23" s="385">
        <f>F23*(1+G22)</f>
        <v>622.42400000000009</v>
      </c>
      <c r="H23" s="385">
        <f>G23*(1+H22)</f>
        <v>684.66640000000018</v>
      </c>
      <c r="I23" s="385">
        <f>H23*(1+I22)</f>
        <v>753.13304000000028</v>
      </c>
      <c r="J23" s="384">
        <f>SUM(E23:I23)</f>
        <v>3140.4634400000004</v>
      </c>
    </row>
    <row r="24" spans="2:10" x14ac:dyDescent="0.3">
      <c r="B24" s="394" t="s">
        <v>462</v>
      </c>
      <c r="C24" s="393" t="s">
        <v>461</v>
      </c>
      <c r="D24" s="392"/>
      <c r="E24" s="392"/>
      <c r="F24" s="391">
        <v>0.1</v>
      </c>
      <c r="G24" s="390">
        <f>F24</f>
        <v>0.1</v>
      </c>
      <c r="H24" s="390">
        <f>G24</f>
        <v>0.1</v>
      </c>
      <c r="I24" s="390">
        <f>H24</f>
        <v>0.1</v>
      </c>
      <c r="J24" s="389"/>
    </row>
    <row r="25" spans="2:10" ht="28.8" x14ac:dyDescent="0.3">
      <c r="B25" s="388" t="s">
        <v>183</v>
      </c>
      <c r="C25" s="387" t="s">
        <v>464</v>
      </c>
      <c r="D25" s="386">
        <v>15000</v>
      </c>
      <c r="E25" s="386">
        <v>701.45</v>
      </c>
      <c r="F25" s="385">
        <f>E25*(1+F24)</f>
        <v>771.59500000000014</v>
      </c>
      <c r="G25" s="385">
        <f>F25*(1+G24)</f>
        <v>848.75450000000023</v>
      </c>
      <c r="H25" s="385">
        <f>G25*(1+H24)</f>
        <v>933.62995000000035</v>
      </c>
      <c r="I25" s="385">
        <f>H25*(1+I24)</f>
        <v>1026.9929450000004</v>
      </c>
      <c r="J25" s="384">
        <f>SUM(E25:I25)</f>
        <v>4282.4223950000014</v>
      </c>
    </row>
    <row r="26" spans="2:10" x14ac:dyDescent="0.3">
      <c r="B26" s="394" t="s">
        <v>462</v>
      </c>
      <c r="C26" s="393" t="s">
        <v>461</v>
      </c>
      <c r="D26" s="392"/>
      <c r="E26" s="392"/>
      <c r="F26" s="391">
        <v>0.1</v>
      </c>
      <c r="G26" s="390">
        <f>F26</f>
        <v>0.1</v>
      </c>
      <c r="H26" s="390">
        <f>G26</f>
        <v>0.1</v>
      </c>
      <c r="I26" s="390">
        <f>H26</f>
        <v>0.1</v>
      </c>
      <c r="J26" s="389"/>
    </row>
    <row r="27" spans="2:10" x14ac:dyDescent="0.3">
      <c r="B27" s="388" t="s">
        <v>114</v>
      </c>
      <c r="C27" s="387" t="s">
        <v>463</v>
      </c>
      <c r="D27" s="386">
        <v>8900</v>
      </c>
      <c r="E27" s="386">
        <v>416.2</v>
      </c>
      <c r="F27" s="385">
        <f>E27*(1+F26)</f>
        <v>457.82000000000005</v>
      </c>
      <c r="G27" s="385">
        <f>F27*(1+G26)</f>
        <v>503.60200000000009</v>
      </c>
      <c r="H27" s="385">
        <f>G27*(1+H26)</f>
        <v>553.96220000000017</v>
      </c>
      <c r="I27" s="385">
        <f>H27*(1+I26)</f>
        <v>609.35842000000025</v>
      </c>
      <c r="J27" s="384">
        <f>SUM(E27:I27)</f>
        <v>2540.9426200000007</v>
      </c>
    </row>
    <row r="28" spans="2:10" x14ac:dyDescent="0.3">
      <c r="B28" s="394" t="s">
        <v>462</v>
      </c>
      <c r="C28" s="393" t="s">
        <v>461</v>
      </c>
      <c r="D28" s="392"/>
      <c r="E28" s="392"/>
      <c r="F28" s="391">
        <v>0.1</v>
      </c>
      <c r="G28" s="390">
        <f>F28</f>
        <v>0.1</v>
      </c>
      <c r="H28" s="390">
        <f>G28</f>
        <v>0.1</v>
      </c>
      <c r="I28" s="390">
        <f>H28</f>
        <v>0.1</v>
      </c>
      <c r="J28" s="389"/>
    </row>
    <row r="29" spans="2:10" x14ac:dyDescent="0.3">
      <c r="B29" s="388" t="s">
        <v>172</v>
      </c>
      <c r="C29" s="387" t="s">
        <v>460</v>
      </c>
      <c r="D29" s="386">
        <v>15000</v>
      </c>
      <c r="E29" s="386">
        <v>701.45</v>
      </c>
      <c r="F29" s="385">
        <f>E29*(1+F28)</f>
        <v>771.59500000000014</v>
      </c>
      <c r="G29" s="385">
        <f>F29*(1+G28)</f>
        <v>848.75450000000023</v>
      </c>
      <c r="H29" s="385">
        <f>G29*(1+H28)</f>
        <v>933.62995000000035</v>
      </c>
      <c r="I29" s="385">
        <f>H29*(1+I28)</f>
        <v>1026.9929450000004</v>
      </c>
      <c r="J29" s="384">
        <f>SUM(E29:I29)</f>
        <v>4282.4223950000014</v>
      </c>
    </row>
    <row r="30" spans="2:10" x14ac:dyDescent="0.3">
      <c r="B30" s="383"/>
      <c r="D30" s="382"/>
      <c r="E30" s="382"/>
      <c r="F30" s="381"/>
      <c r="G30" s="381"/>
      <c r="H30" s="381"/>
      <c r="I30" s="381"/>
      <c r="J30" s="380"/>
    </row>
    <row r="31" spans="2:10" x14ac:dyDescent="0.3">
      <c r="B31" s="383"/>
      <c r="D31" s="382"/>
      <c r="E31" s="382"/>
      <c r="F31" s="381"/>
      <c r="G31" s="381"/>
      <c r="H31" s="381"/>
      <c r="I31" s="381"/>
      <c r="J31" s="380"/>
    </row>
  </sheetData>
  <mergeCells count="2">
    <mergeCell ref="B2:C2"/>
    <mergeCell ref="D2:P2"/>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2FCE-9B28-48CD-913F-19F25D2976C4}">
  <dimension ref="B2:Q61"/>
  <sheetViews>
    <sheetView showGridLines="0" zoomScale="80" zoomScaleNormal="80" workbookViewId="0">
      <pane xSplit="2" ySplit="4" topLeftCell="C32" activePane="bottomRight" state="frozen"/>
      <selection activeCell="D16" sqref="D16:D17"/>
      <selection pane="topRight" activeCell="D16" sqref="D16:D17"/>
      <selection pane="bottomLeft" activeCell="D16" sqref="D16:D17"/>
      <selection pane="bottomRight" activeCell="D32" sqref="D32"/>
    </sheetView>
  </sheetViews>
  <sheetFormatPr defaultColWidth="9.33203125" defaultRowHeight="14.4" x14ac:dyDescent="0.3"/>
  <cols>
    <col min="1" max="1" width="2.6640625" style="379" customWidth="1"/>
    <col min="2" max="2" width="41.44140625" style="379" customWidth="1"/>
    <col min="3" max="3" width="39.33203125" style="379" customWidth="1"/>
    <col min="4" max="4" width="12.6640625" style="379" customWidth="1"/>
    <col min="5" max="5" width="13.5546875" style="379" customWidth="1"/>
    <col min="6" max="6" width="13" style="379" customWidth="1"/>
    <col min="7" max="16" width="12.6640625" style="379" bestFit="1" customWidth="1"/>
    <col min="17" max="17" width="12.5546875" style="414" bestFit="1" customWidth="1"/>
    <col min="18" max="16384" width="9.33203125" style="379"/>
  </cols>
  <sheetData>
    <row r="2" spans="2:17" x14ac:dyDescent="0.3">
      <c r="B2" s="625" t="str">
        <f>Orçamento!B2</f>
        <v>Identificação do Projeto</v>
      </c>
      <c r="C2" s="625"/>
      <c r="D2" s="434"/>
      <c r="E2" s="627" t="s">
        <v>483</v>
      </c>
      <c r="F2" s="627"/>
      <c r="G2" s="627"/>
      <c r="H2" s="627"/>
      <c r="I2" s="627"/>
      <c r="J2" s="627"/>
      <c r="K2" s="627"/>
      <c r="L2" s="627"/>
      <c r="M2" s="627"/>
      <c r="N2" s="627"/>
      <c r="O2" s="627"/>
      <c r="P2" s="627"/>
      <c r="Q2" s="431"/>
    </row>
    <row r="3" spans="2:17" x14ac:dyDescent="0.3">
      <c r="B3" s="400" t="s">
        <v>482</v>
      </c>
      <c r="C3" s="435" t="str">
        <f>[4]Param!C17</f>
        <v>Fidelize</v>
      </c>
      <c r="D3" s="434"/>
      <c r="E3" s="411">
        <f>Orçamento!E3</f>
        <v>45870</v>
      </c>
      <c r="F3" s="411">
        <f>Orçamento!F3</f>
        <v>45901</v>
      </c>
      <c r="G3" s="411">
        <f>Orçamento!G3</f>
        <v>45931</v>
      </c>
      <c r="H3" s="411">
        <f>Orçamento!H3</f>
        <v>45962</v>
      </c>
      <c r="I3" s="411">
        <f>Orçamento!I3</f>
        <v>45992</v>
      </c>
      <c r="J3" s="433" t="s">
        <v>34</v>
      </c>
      <c r="Q3" s="379"/>
    </row>
    <row r="4" spans="2:17" x14ac:dyDescent="0.3">
      <c r="B4" s="400" t="s">
        <v>481</v>
      </c>
      <c r="C4" s="432" t="str">
        <f>[4]Param!C19</f>
        <v>Cannoli</v>
      </c>
      <c r="D4" s="407">
        <v>0</v>
      </c>
      <c r="E4" s="407">
        <v>1</v>
      </c>
      <c r="F4" s="407">
        <f>E4+1</f>
        <v>2</v>
      </c>
      <c r="G4" s="407">
        <f>F4+1</f>
        <v>3</v>
      </c>
      <c r="H4" s="407">
        <f>G4+1</f>
        <v>4</v>
      </c>
      <c r="I4" s="407">
        <f>H4+1</f>
        <v>5</v>
      </c>
      <c r="J4" s="431"/>
      <c r="Q4" s="379"/>
    </row>
    <row r="5" spans="2:17" x14ac:dyDescent="0.3">
      <c r="B5" s="401" t="s">
        <v>491</v>
      </c>
      <c r="D5" s="402">
        <f>SUM(D9+D11+D13+D15+D17+D19+D21+D23+D25+D27+D29)</f>
        <v>158109</v>
      </c>
      <c r="E5" s="402">
        <f>SUM(E39:E52)+E9+E11+E13+E15+E17+E19+E21+E23+E25+E27+E29</f>
        <v>7987.4</v>
      </c>
      <c r="F5" s="402">
        <f>SUM(F9+F11+F13+F15+F17+F19+F21+F23+F25+F27+F29)</f>
        <v>8708.1400000000012</v>
      </c>
      <c r="G5" s="402">
        <f>SUM(G9+G11+G13+G15+G17+G19+G21+G23+G25+G27+G29)</f>
        <v>9500.9540000000015</v>
      </c>
      <c r="H5" s="402">
        <f>SUM(H9+H11+H13+H15+H17+H19+H21+H23+H25+H27+H29)</f>
        <v>10373.049400000004</v>
      </c>
      <c r="I5" s="402">
        <f>SUM(I9+I11+I13+I15+I17+I19+I21+I23+I25+I27+I29)</f>
        <v>11332.354340000004</v>
      </c>
      <c r="J5" s="430">
        <f>SUM(E5:I5)</f>
        <v>47901.897740000015</v>
      </c>
      <c r="Q5" s="379"/>
    </row>
    <row r="6" spans="2:17" x14ac:dyDescent="0.3">
      <c r="B6" s="401" t="s">
        <v>479</v>
      </c>
      <c r="D6" s="402">
        <f>D5</f>
        <v>158109</v>
      </c>
      <c r="E6" s="402">
        <f>D6+E5</f>
        <v>166096.4</v>
      </c>
      <c r="F6" s="402">
        <f>E6+F5</f>
        <v>174804.54</v>
      </c>
      <c r="G6" s="402">
        <f>F6+G5</f>
        <v>184305.49400000001</v>
      </c>
      <c r="H6" s="402">
        <f>G6+H5</f>
        <v>194678.54340000002</v>
      </c>
      <c r="I6" s="402">
        <f>H6+I5</f>
        <v>206010.89774000001</v>
      </c>
      <c r="J6" s="414"/>
      <c r="Q6" s="379"/>
    </row>
    <row r="7" spans="2:17" x14ac:dyDescent="0.3">
      <c r="B7" s="400" t="s">
        <v>490</v>
      </c>
      <c r="C7" s="401" t="s">
        <v>477</v>
      </c>
      <c r="D7" s="401"/>
      <c r="J7" s="414"/>
      <c r="Q7" s="379"/>
    </row>
    <row r="8" spans="2:17" x14ac:dyDescent="0.3">
      <c r="B8" s="400" t="s">
        <v>476</v>
      </c>
      <c r="C8" s="393"/>
      <c r="D8" s="392"/>
      <c r="E8" s="392"/>
      <c r="F8" s="392"/>
      <c r="G8" s="392"/>
      <c r="H8" s="392"/>
      <c r="I8" s="392"/>
      <c r="J8" s="427"/>
      <c r="Q8" s="379"/>
    </row>
    <row r="9" spans="2:17" ht="72" x14ac:dyDescent="0.3">
      <c r="B9" s="429" t="str">
        <f>Orçamento!B9</f>
        <v>Iniciação</v>
      </c>
      <c r="C9" s="398" t="s">
        <v>474</v>
      </c>
      <c r="D9" s="386">
        <v>9360</v>
      </c>
      <c r="E9" s="386">
        <v>780</v>
      </c>
      <c r="F9" s="385">
        <f>E9*(1+F8)</f>
        <v>780</v>
      </c>
      <c r="G9" s="385">
        <f>F9*(1+G8)</f>
        <v>780</v>
      </c>
      <c r="H9" s="385">
        <f>G9*(1+H8)</f>
        <v>780</v>
      </c>
      <c r="I9" s="385">
        <f>H9*(1+I8)</f>
        <v>780</v>
      </c>
      <c r="J9" s="425">
        <f>SUM(E9:I9)</f>
        <v>3900</v>
      </c>
      <c r="Q9" s="379"/>
    </row>
    <row r="10" spans="2:17" x14ac:dyDescent="0.3">
      <c r="B10" s="428"/>
      <c r="C10" s="393"/>
      <c r="D10" s="392"/>
      <c r="E10" s="392"/>
      <c r="F10" s="391">
        <v>0.1</v>
      </c>
      <c r="G10" s="391">
        <v>0.1</v>
      </c>
      <c r="H10" s="391">
        <v>0.1</v>
      </c>
      <c r="I10" s="391">
        <v>0.1</v>
      </c>
      <c r="J10" s="427"/>
      <c r="Q10" s="379"/>
    </row>
    <row r="11" spans="2:17" ht="100.8" x14ac:dyDescent="0.3">
      <c r="B11" s="426" t="str">
        <f>Orçamento!B11</f>
        <v>Planejamento</v>
      </c>
      <c r="C11" s="396" t="s">
        <v>473</v>
      </c>
      <c r="D11" s="386">
        <v>16680</v>
      </c>
      <c r="E11" s="386">
        <v>780</v>
      </c>
      <c r="F11" s="385">
        <f>E11*(1+F10)</f>
        <v>858.00000000000011</v>
      </c>
      <c r="G11" s="385">
        <f>F11*(1+G10)</f>
        <v>943.80000000000018</v>
      </c>
      <c r="H11" s="385">
        <f>G11*(1+H10)</f>
        <v>1038.1800000000003</v>
      </c>
      <c r="I11" s="385">
        <f>H11*(1+I10)</f>
        <v>1141.9980000000005</v>
      </c>
      <c r="J11" s="425">
        <f>SUM(E11:I11)</f>
        <v>4761.978000000001</v>
      </c>
      <c r="Q11" s="379"/>
    </row>
    <row r="12" spans="2:17" x14ac:dyDescent="0.3">
      <c r="B12" s="428"/>
      <c r="C12" s="393"/>
      <c r="D12" s="392"/>
      <c r="E12" s="392"/>
      <c r="F12" s="391">
        <v>0.1</v>
      </c>
      <c r="G12" s="390">
        <f>F12</f>
        <v>0.1</v>
      </c>
      <c r="H12" s="390">
        <f>G12</f>
        <v>0.1</v>
      </c>
      <c r="I12" s="390">
        <f>H12</f>
        <v>0.1</v>
      </c>
      <c r="J12" s="427"/>
      <c r="Q12" s="379"/>
    </row>
    <row r="13" spans="2:17" ht="86.4" x14ac:dyDescent="0.3">
      <c r="B13" s="426" t="str">
        <f>Orçamento!B13</f>
        <v>Design e Prototipagem</v>
      </c>
      <c r="C13" s="396" t="s">
        <v>472</v>
      </c>
      <c r="D13" s="386">
        <v>14969</v>
      </c>
      <c r="E13" s="386">
        <v>700</v>
      </c>
      <c r="F13" s="385">
        <f>E13*(1+F12)</f>
        <v>770.00000000000011</v>
      </c>
      <c r="G13" s="385">
        <f>F13*(1+G12)</f>
        <v>847.00000000000023</v>
      </c>
      <c r="H13" s="385">
        <f>G13*(1+H12)</f>
        <v>931.70000000000027</v>
      </c>
      <c r="I13" s="385">
        <f>H13*(1+I12)</f>
        <v>1024.8700000000003</v>
      </c>
      <c r="J13" s="425">
        <f>SUM(E13:I13)</f>
        <v>4273.5700000000006</v>
      </c>
      <c r="Q13" s="379"/>
    </row>
    <row r="14" spans="2:17" x14ac:dyDescent="0.3">
      <c r="B14" s="428"/>
      <c r="C14" s="393"/>
      <c r="D14" s="392"/>
      <c r="E14" s="392"/>
      <c r="F14" s="391">
        <v>0.1</v>
      </c>
      <c r="G14" s="390">
        <f>F14</f>
        <v>0.1</v>
      </c>
      <c r="H14" s="390">
        <f>G14</f>
        <v>0.1</v>
      </c>
      <c r="I14" s="390">
        <f>H14</f>
        <v>0.1</v>
      </c>
      <c r="J14" s="427"/>
      <c r="Q14" s="379"/>
    </row>
    <row r="15" spans="2:17" ht="57.6" x14ac:dyDescent="0.3">
      <c r="B15" s="426" t="str">
        <f>Orçamento!B15</f>
        <v>Desenvolvimento</v>
      </c>
      <c r="C15" s="396" t="s">
        <v>471</v>
      </c>
      <c r="D15" s="386">
        <v>32000</v>
      </c>
      <c r="E15" s="386">
        <v>1700</v>
      </c>
      <c r="F15" s="385">
        <f>E15*(1+F14)</f>
        <v>1870.0000000000002</v>
      </c>
      <c r="G15" s="385">
        <f>F15*(1+G14)</f>
        <v>2057.0000000000005</v>
      </c>
      <c r="H15" s="385">
        <f>G15*(1+H14)</f>
        <v>2262.7000000000007</v>
      </c>
      <c r="I15" s="385">
        <f>H15*(1+I14)</f>
        <v>2488.9700000000012</v>
      </c>
      <c r="J15" s="425">
        <f>SUM(E15:I15)</f>
        <v>10378.670000000002</v>
      </c>
      <c r="Q15" s="379"/>
    </row>
    <row r="16" spans="2:17" x14ac:dyDescent="0.3">
      <c r="B16" s="428"/>
      <c r="C16" s="393"/>
      <c r="D16" s="392"/>
      <c r="E16" s="392"/>
      <c r="F16" s="391">
        <v>0.1</v>
      </c>
      <c r="G16" s="390">
        <f>F16</f>
        <v>0.1</v>
      </c>
      <c r="H16" s="390">
        <f>G16</f>
        <v>0.1</v>
      </c>
      <c r="I16" s="390">
        <f>H16</f>
        <v>0.1</v>
      </c>
      <c r="J16" s="427"/>
      <c r="Q16" s="379"/>
    </row>
    <row r="17" spans="2:17" x14ac:dyDescent="0.3">
      <c r="B17" s="426" t="str">
        <f>Orçamento!B17</f>
        <v>Integração com fontes de dados</v>
      </c>
      <c r="C17" s="387" t="s">
        <v>469</v>
      </c>
      <c r="D17" s="386">
        <v>5000</v>
      </c>
      <c r="E17" s="386">
        <v>203</v>
      </c>
      <c r="F17" s="386">
        <f>E17*(1+F16)</f>
        <v>223.3</v>
      </c>
      <c r="G17" s="386">
        <f>F17*(1+G16)</f>
        <v>245.63000000000002</v>
      </c>
      <c r="H17" s="386">
        <f>G17*(1+H16)</f>
        <v>270.19300000000004</v>
      </c>
      <c r="I17" s="386">
        <f>H17*(1+I16)</f>
        <v>297.21230000000008</v>
      </c>
      <c r="J17" s="425">
        <f>SUM(E17:I17)</f>
        <v>1239.3353000000002</v>
      </c>
      <c r="Q17" s="379"/>
    </row>
    <row r="18" spans="2:17" x14ac:dyDescent="0.3">
      <c r="B18" s="428"/>
      <c r="C18" s="393"/>
      <c r="D18" s="392"/>
      <c r="E18" s="392"/>
      <c r="F18" s="391">
        <v>0.1</v>
      </c>
      <c r="G18" s="390">
        <f>F18</f>
        <v>0.1</v>
      </c>
      <c r="H18" s="390">
        <f>G18</f>
        <v>0.1</v>
      </c>
      <c r="I18" s="390">
        <f>H18</f>
        <v>0.1</v>
      </c>
      <c r="J18" s="427"/>
      <c r="Q18" s="379"/>
    </row>
    <row r="19" spans="2:17" x14ac:dyDescent="0.3">
      <c r="B19" s="426" t="str">
        <f>Orçamento!B19</f>
        <v>Teste</v>
      </c>
      <c r="C19" s="387" t="s">
        <v>467</v>
      </c>
      <c r="D19" s="386">
        <v>11600</v>
      </c>
      <c r="E19" s="386">
        <v>520</v>
      </c>
      <c r="F19" s="386">
        <f>E19*(1+F18)</f>
        <v>572</v>
      </c>
      <c r="G19" s="386">
        <f>F19*(1+G18)</f>
        <v>629.20000000000005</v>
      </c>
      <c r="H19" s="386">
        <f>G19*(1+H18)</f>
        <v>692.12000000000012</v>
      </c>
      <c r="I19" s="386">
        <f>H19*(1+I18)</f>
        <v>761.33200000000022</v>
      </c>
      <c r="J19" s="425">
        <f>SUM(E19:I19)</f>
        <v>3174.6520000000005</v>
      </c>
      <c r="Q19" s="379"/>
    </row>
    <row r="20" spans="2:17" x14ac:dyDescent="0.3">
      <c r="B20" s="428"/>
      <c r="C20" s="393"/>
      <c r="D20" s="392"/>
      <c r="E20" s="392"/>
      <c r="F20" s="391">
        <v>0.1</v>
      </c>
      <c r="G20" s="390">
        <f>F20</f>
        <v>0.1</v>
      </c>
      <c r="H20" s="390">
        <f>G20</f>
        <v>0.1</v>
      </c>
      <c r="I20" s="390">
        <f>H20</f>
        <v>0.1</v>
      </c>
      <c r="J20" s="427"/>
      <c r="Q20" s="379"/>
    </row>
    <row r="21" spans="2:17" x14ac:dyDescent="0.3">
      <c r="B21" s="426" t="str">
        <f>Orçamento!B21</f>
        <v>Lançamento (Stakeholders internos)</v>
      </c>
      <c r="C21" s="387" t="s">
        <v>466</v>
      </c>
      <c r="D21" s="386">
        <v>18600</v>
      </c>
      <c r="E21" s="386">
        <v>950</v>
      </c>
      <c r="F21" s="386">
        <f>E21*(1+F20)</f>
        <v>1045</v>
      </c>
      <c r="G21" s="386">
        <f>F21*(1+G20)</f>
        <v>1149.5</v>
      </c>
      <c r="H21" s="386">
        <f>G21*(1+H20)</f>
        <v>1264.45</v>
      </c>
      <c r="I21" s="386">
        <f>H21*(1+I20)</f>
        <v>1390.8950000000002</v>
      </c>
      <c r="J21" s="425">
        <f>SUM(E21:I21)</f>
        <v>5799.8450000000003</v>
      </c>
      <c r="Q21" s="379"/>
    </row>
    <row r="22" spans="2:17" x14ac:dyDescent="0.3">
      <c r="B22" s="428"/>
      <c r="C22" s="393"/>
      <c r="D22" s="392"/>
      <c r="E22" s="392"/>
      <c r="F22" s="391">
        <v>0.1</v>
      </c>
      <c r="G22" s="390">
        <f>F22</f>
        <v>0.1</v>
      </c>
      <c r="H22" s="390">
        <f>G22</f>
        <v>0.1</v>
      </c>
      <c r="I22" s="390">
        <f>H22</f>
        <v>0.1</v>
      </c>
      <c r="J22" s="427"/>
      <c r="Q22" s="379"/>
    </row>
    <row r="23" spans="2:17" x14ac:dyDescent="0.3">
      <c r="B23" s="426" t="str">
        <f>Orçamento!B23</f>
        <v>Pós-lançamento (Stakeholders internos)</v>
      </c>
      <c r="C23" s="387" t="s">
        <v>465</v>
      </c>
      <c r="D23" s="386">
        <v>11000</v>
      </c>
      <c r="E23" s="386">
        <v>514.4</v>
      </c>
      <c r="F23" s="386">
        <f>E23*(1+F22)</f>
        <v>565.84</v>
      </c>
      <c r="G23" s="386">
        <f>F23*(1+G22)</f>
        <v>622.42400000000009</v>
      </c>
      <c r="H23" s="386">
        <f>G23*(1+H22)</f>
        <v>684.66640000000018</v>
      </c>
      <c r="I23" s="386">
        <f>H23*(1+I22)</f>
        <v>753.13304000000028</v>
      </c>
      <c r="J23" s="425">
        <f>SUM(E23:I23)</f>
        <v>3140.4634400000004</v>
      </c>
      <c r="Q23" s="379"/>
    </row>
    <row r="24" spans="2:17" x14ac:dyDescent="0.3">
      <c r="B24" s="428"/>
      <c r="C24" s="393"/>
      <c r="D24" s="392"/>
      <c r="E24" s="392"/>
      <c r="F24" s="391">
        <v>0.1</v>
      </c>
      <c r="G24" s="390">
        <f>F24</f>
        <v>0.1</v>
      </c>
      <c r="H24" s="390">
        <f>G24</f>
        <v>0.1</v>
      </c>
      <c r="I24" s="390">
        <f>H24</f>
        <v>0.1</v>
      </c>
      <c r="J24" s="427"/>
      <c r="Q24" s="379"/>
    </row>
    <row r="25" spans="2:17" x14ac:dyDescent="0.3">
      <c r="B25" s="426" t="str">
        <f>Orçamento!B25</f>
        <v xml:space="preserve">Marketing e Divulgação - para o Mercado </v>
      </c>
      <c r="C25" s="387" t="s">
        <v>464</v>
      </c>
      <c r="D25" s="386">
        <v>15000</v>
      </c>
      <c r="E25" s="386">
        <v>720</v>
      </c>
      <c r="F25" s="386">
        <f>E25*(1+F24)</f>
        <v>792.00000000000011</v>
      </c>
      <c r="G25" s="386">
        <f>F25*(1+G24)</f>
        <v>871.20000000000016</v>
      </c>
      <c r="H25" s="386">
        <f>G25*(1+H24)</f>
        <v>958.32000000000028</v>
      </c>
      <c r="I25" s="386">
        <f>H25*(1+I24)</f>
        <v>1054.1520000000005</v>
      </c>
      <c r="J25" s="425">
        <f>SUM(E25:I25)</f>
        <v>4395.6720000000005</v>
      </c>
      <c r="Q25" s="379"/>
    </row>
    <row r="26" spans="2:17" x14ac:dyDescent="0.3">
      <c r="B26" s="428"/>
      <c r="C26" s="393"/>
      <c r="D26" s="392"/>
      <c r="E26" s="392"/>
      <c r="F26" s="391">
        <v>0.1</v>
      </c>
      <c r="G26" s="390">
        <f>F26</f>
        <v>0.1</v>
      </c>
      <c r="H26" s="390">
        <f>G26</f>
        <v>0.1</v>
      </c>
      <c r="I26" s="390">
        <f>H26</f>
        <v>0.1</v>
      </c>
      <c r="J26" s="427"/>
      <c r="Q26" s="379"/>
    </row>
    <row r="27" spans="2:17" x14ac:dyDescent="0.3">
      <c r="B27" s="426" t="str">
        <f>Orçamento!B27</f>
        <v>Avaliação e Aperfeiçoamento</v>
      </c>
      <c r="C27" s="387" t="s">
        <v>463</v>
      </c>
      <c r="D27" s="386">
        <v>8900</v>
      </c>
      <c r="E27" s="386">
        <v>410</v>
      </c>
      <c r="F27" s="386">
        <f>E27*(1+F26)</f>
        <v>451.00000000000006</v>
      </c>
      <c r="G27" s="386">
        <f>F27*(1+G26)</f>
        <v>496.10000000000008</v>
      </c>
      <c r="H27" s="386">
        <f>G27*(1+H26)</f>
        <v>545.71000000000015</v>
      </c>
      <c r="I27" s="386">
        <f>H27*(1+I26)</f>
        <v>600.28100000000018</v>
      </c>
      <c r="J27" s="425">
        <f>SUM(E27:I27)</f>
        <v>2503.0910000000003</v>
      </c>
      <c r="Q27" s="379"/>
    </row>
    <row r="28" spans="2:17" x14ac:dyDescent="0.3">
      <c r="B28" s="428"/>
      <c r="C28" s="393"/>
      <c r="D28" s="392"/>
      <c r="E28" s="392"/>
      <c r="F28" s="391">
        <v>0.1</v>
      </c>
      <c r="G28" s="390">
        <f>F28</f>
        <v>0.1</v>
      </c>
      <c r="H28" s="390">
        <f>G28</f>
        <v>0.1</v>
      </c>
      <c r="I28" s="390">
        <f>H28</f>
        <v>0.1</v>
      </c>
      <c r="J28" s="427"/>
      <c r="Q28" s="379"/>
    </row>
    <row r="29" spans="2:17" x14ac:dyDescent="0.3">
      <c r="B29" s="426" t="str">
        <f>Orçamento!B29</f>
        <v>Expansão</v>
      </c>
      <c r="C29" s="387" t="s">
        <v>460</v>
      </c>
      <c r="D29" s="386">
        <v>15000</v>
      </c>
      <c r="E29" s="386">
        <v>710</v>
      </c>
      <c r="F29" s="386">
        <f>E29*(1+F28)</f>
        <v>781.00000000000011</v>
      </c>
      <c r="G29" s="386">
        <f>F29*(1+G28)</f>
        <v>859.10000000000025</v>
      </c>
      <c r="H29" s="386">
        <f>G29*(1+H28)</f>
        <v>945.01000000000033</v>
      </c>
      <c r="I29" s="386">
        <f>H29*(1+I28)</f>
        <v>1039.5110000000004</v>
      </c>
      <c r="J29" s="425">
        <f>SUM(E29:I29)</f>
        <v>4334.621000000001</v>
      </c>
      <c r="Q29" s="379"/>
    </row>
    <row r="30" spans="2:17" x14ac:dyDescent="0.3">
      <c r="B30" s="401"/>
      <c r="D30" s="382"/>
      <c r="E30" s="382"/>
      <c r="F30" s="382"/>
      <c r="G30" s="382"/>
      <c r="H30" s="382"/>
      <c r="I30" s="382"/>
      <c r="J30" s="382"/>
      <c r="K30" s="382"/>
      <c r="L30" s="382"/>
      <c r="M30" s="382"/>
      <c r="N30" s="382"/>
      <c r="O30" s="382"/>
      <c r="P30" s="382"/>
      <c r="Q30" s="424"/>
    </row>
    <row r="31" spans="2:17" x14ac:dyDescent="0.3">
      <c r="B31" s="401"/>
      <c r="D31" s="382"/>
      <c r="E31" s="382"/>
      <c r="F31" s="382"/>
      <c r="G31" s="382"/>
      <c r="H31" s="382"/>
      <c r="I31" s="382"/>
      <c r="J31" s="382"/>
      <c r="K31" s="382"/>
      <c r="L31" s="382"/>
      <c r="M31" s="382"/>
      <c r="N31" s="382"/>
      <c r="O31" s="382"/>
      <c r="P31" s="382"/>
      <c r="Q31" s="424"/>
    </row>
    <row r="32" spans="2:17" x14ac:dyDescent="0.3">
      <c r="B32" s="401"/>
      <c r="D32" s="382"/>
      <c r="E32" s="382"/>
      <c r="F32" s="382"/>
      <c r="G32" s="382"/>
      <c r="H32" s="382"/>
      <c r="I32" s="382"/>
      <c r="J32" s="382"/>
      <c r="K32" s="382"/>
      <c r="L32" s="382"/>
      <c r="M32" s="382"/>
      <c r="N32" s="382"/>
      <c r="O32" s="382"/>
      <c r="P32" s="382"/>
      <c r="Q32" s="424"/>
    </row>
    <row r="33" spans="2:17" x14ac:dyDescent="0.3">
      <c r="B33" s="401"/>
      <c r="D33" s="382"/>
      <c r="E33" s="382"/>
      <c r="F33" s="382"/>
      <c r="G33" s="382"/>
      <c r="H33" s="382"/>
      <c r="I33" s="382"/>
      <c r="J33" s="382"/>
      <c r="K33" s="382"/>
      <c r="L33" s="382"/>
      <c r="M33" s="382"/>
      <c r="N33" s="382"/>
      <c r="O33" s="382"/>
      <c r="P33" s="382"/>
      <c r="Q33" s="424"/>
    </row>
    <row r="34" spans="2:17" x14ac:dyDescent="0.3">
      <c r="B34" s="401"/>
      <c r="D34" s="382"/>
      <c r="E34" s="382"/>
      <c r="F34" s="382"/>
      <c r="G34" s="382"/>
      <c r="H34" s="382"/>
      <c r="I34" s="382"/>
      <c r="J34" s="382"/>
      <c r="K34" s="382"/>
      <c r="L34" s="382"/>
      <c r="M34" s="382"/>
      <c r="N34" s="382"/>
      <c r="O34" s="382"/>
      <c r="P34" s="382"/>
      <c r="Q34" s="424"/>
    </row>
    <row r="35" spans="2:17" x14ac:dyDescent="0.3">
      <c r="B35" s="401"/>
      <c r="D35" s="382"/>
      <c r="E35" s="382"/>
      <c r="F35" s="382"/>
      <c r="G35" s="382"/>
      <c r="H35" s="382"/>
      <c r="I35" s="382"/>
      <c r="J35" s="382"/>
      <c r="K35" s="382"/>
      <c r="L35" s="382"/>
      <c r="M35" s="382"/>
      <c r="N35" s="382"/>
      <c r="O35" s="382"/>
      <c r="P35" s="382"/>
      <c r="Q35" s="424"/>
    </row>
    <row r="36" spans="2:17" x14ac:dyDescent="0.3">
      <c r="B36" s="401"/>
      <c r="D36" s="382"/>
      <c r="E36" s="382"/>
      <c r="F36" s="382"/>
      <c r="G36" s="382"/>
      <c r="H36" s="382"/>
      <c r="I36" s="382"/>
      <c r="J36" s="382"/>
      <c r="K36" s="382"/>
      <c r="L36" s="382"/>
      <c r="M36" s="382"/>
      <c r="N36" s="382"/>
      <c r="O36" s="382"/>
      <c r="P36" s="382"/>
      <c r="Q36" s="424"/>
    </row>
    <row r="37" spans="2:17" x14ac:dyDescent="0.3">
      <c r="B37" s="401"/>
      <c r="D37" s="382"/>
      <c r="E37" s="382"/>
      <c r="F37" s="382"/>
      <c r="G37" s="382"/>
      <c r="H37" s="382"/>
      <c r="I37" s="382"/>
      <c r="J37" s="382"/>
      <c r="K37" s="382"/>
      <c r="L37" s="382"/>
      <c r="M37" s="382"/>
      <c r="N37" s="382"/>
      <c r="O37" s="382"/>
      <c r="P37" s="382"/>
      <c r="Q37" s="424"/>
    </row>
    <row r="38" spans="2:17" x14ac:dyDescent="0.3">
      <c r="B38" s="400" t="s">
        <v>489</v>
      </c>
    </row>
    <row r="39" spans="2:17" x14ac:dyDescent="0.3">
      <c r="B39" s="379" t="e">
        <f>Orçamento!#REF!</f>
        <v>#REF!</v>
      </c>
      <c r="D39" s="423">
        <v>0</v>
      </c>
      <c r="E39" s="423">
        <v>0</v>
      </c>
      <c r="F39" s="422">
        <f t="shared" ref="F39:P39" si="0">E39</f>
        <v>0</v>
      </c>
      <c r="G39" s="422">
        <f t="shared" si="0"/>
        <v>0</v>
      </c>
      <c r="H39" s="422">
        <f t="shared" si="0"/>
        <v>0</v>
      </c>
      <c r="I39" s="422">
        <f t="shared" si="0"/>
        <v>0</v>
      </c>
      <c r="J39" s="422">
        <f t="shared" si="0"/>
        <v>0</v>
      </c>
      <c r="K39" s="422">
        <f t="shared" si="0"/>
        <v>0</v>
      </c>
      <c r="L39" s="422">
        <f t="shared" si="0"/>
        <v>0</v>
      </c>
      <c r="M39" s="422">
        <f t="shared" si="0"/>
        <v>0</v>
      </c>
      <c r="N39" s="422">
        <f t="shared" si="0"/>
        <v>0</v>
      </c>
      <c r="O39" s="422">
        <f t="shared" si="0"/>
        <v>0</v>
      </c>
      <c r="P39" s="422">
        <f t="shared" si="0"/>
        <v>0</v>
      </c>
      <c r="Q39" s="421">
        <f t="shared" ref="Q39:Q52" si="1">SUM(D39:P39)</f>
        <v>0</v>
      </c>
    </row>
    <row r="40" spans="2:17" x14ac:dyDescent="0.3">
      <c r="B40" s="379" t="e">
        <f>Orçamento!#REF!</f>
        <v>#REF!</v>
      </c>
      <c r="D40" s="423"/>
      <c r="E40" s="423"/>
      <c r="F40" s="422">
        <f t="shared" ref="F40:P40" si="2">E40</f>
        <v>0</v>
      </c>
      <c r="G40" s="422">
        <f t="shared" si="2"/>
        <v>0</v>
      </c>
      <c r="H40" s="422">
        <f t="shared" si="2"/>
        <v>0</v>
      </c>
      <c r="I40" s="422">
        <f t="shared" si="2"/>
        <v>0</v>
      </c>
      <c r="J40" s="422">
        <f t="shared" si="2"/>
        <v>0</v>
      </c>
      <c r="K40" s="422">
        <f t="shared" si="2"/>
        <v>0</v>
      </c>
      <c r="L40" s="422">
        <f t="shared" si="2"/>
        <v>0</v>
      </c>
      <c r="M40" s="422">
        <f t="shared" si="2"/>
        <v>0</v>
      </c>
      <c r="N40" s="422">
        <f t="shared" si="2"/>
        <v>0</v>
      </c>
      <c r="O40" s="422">
        <f t="shared" si="2"/>
        <v>0</v>
      </c>
      <c r="P40" s="422">
        <f t="shared" si="2"/>
        <v>0</v>
      </c>
      <c r="Q40" s="421">
        <f t="shared" si="1"/>
        <v>0</v>
      </c>
    </row>
    <row r="41" spans="2:17" x14ac:dyDescent="0.3">
      <c r="B41" s="379" t="e">
        <f>Orçamento!#REF!</f>
        <v>#REF!</v>
      </c>
      <c r="D41" s="423"/>
      <c r="E41" s="423"/>
      <c r="F41" s="422">
        <f t="shared" ref="F41:P41" si="3">E41</f>
        <v>0</v>
      </c>
      <c r="G41" s="422">
        <f t="shared" si="3"/>
        <v>0</v>
      </c>
      <c r="H41" s="422">
        <f t="shared" si="3"/>
        <v>0</v>
      </c>
      <c r="I41" s="422">
        <f t="shared" si="3"/>
        <v>0</v>
      </c>
      <c r="J41" s="422">
        <f t="shared" si="3"/>
        <v>0</v>
      </c>
      <c r="K41" s="422">
        <f t="shared" si="3"/>
        <v>0</v>
      </c>
      <c r="L41" s="422">
        <f t="shared" si="3"/>
        <v>0</v>
      </c>
      <c r="M41" s="422">
        <f t="shared" si="3"/>
        <v>0</v>
      </c>
      <c r="N41" s="422">
        <f t="shared" si="3"/>
        <v>0</v>
      </c>
      <c r="O41" s="422">
        <f t="shared" si="3"/>
        <v>0</v>
      </c>
      <c r="P41" s="422">
        <f t="shared" si="3"/>
        <v>0</v>
      </c>
      <c r="Q41" s="421">
        <f t="shared" si="1"/>
        <v>0</v>
      </c>
    </row>
    <row r="42" spans="2:17" x14ac:dyDescent="0.3">
      <c r="B42" s="401" t="e">
        <f>Orçamento!#REF!</f>
        <v>#REF!</v>
      </c>
      <c r="D42" s="423"/>
      <c r="E42" s="423"/>
      <c r="F42" s="422">
        <f t="shared" ref="F42:P42" si="4">E42</f>
        <v>0</v>
      </c>
      <c r="G42" s="422">
        <f t="shared" si="4"/>
        <v>0</v>
      </c>
      <c r="H42" s="422">
        <f t="shared" si="4"/>
        <v>0</v>
      </c>
      <c r="I42" s="422">
        <f t="shared" si="4"/>
        <v>0</v>
      </c>
      <c r="J42" s="422">
        <f t="shared" si="4"/>
        <v>0</v>
      </c>
      <c r="K42" s="422">
        <f t="shared" si="4"/>
        <v>0</v>
      </c>
      <c r="L42" s="422">
        <f t="shared" si="4"/>
        <v>0</v>
      </c>
      <c r="M42" s="422">
        <f t="shared" si="4"/>
        <v>0</v>
      </c>
      <c r="N42" s="422">
        <f t="shared" si="4"/>
        <v>0</v>
      </c>
      <c r="O42" s="422">
        <f t="shared" si="4"/>
        <v>0</v>
      </c>
      <c r="P42" s="422">
        <f t="shared" si="4"/>
        <v>0</v>
      </c>
      <c r="Q42" s="421">
        <f t="shared" si="1"/>
        <v>0</v>
      </c>
    </row>
    <row r="43" spans="2:17" x14ac:dyDescent="0.3">
      <c r="B43" s="401" t="e">
        <f>Orçamento!#REF!</f>
        <v>#REF!</v>
      </c>
      <c r="D43" s="423"/>
      <c r="E43" s="423"/>
      <c r="F43" s="422">
        <f t="shared" ref="F43:P43" si="5">E43</f>
        <v>0</v>
      </c>
      <c r="G43" s="422">
        <f t="shared" si="5"/>
        <v>0</v>
      </c>
      <c r="H43" s="422">
        <f t="shared" si="5"/>
        <v>0</v>
      </c>
      <c r="I43" s="422">
        <f t="shared" si="5"/>
        <v>0</v>
      </c>
      <c r="J43" s="422">
        <f t="shared" si="5"/>
        <v>0</v>
      </c>
      <c r="K43" s="422">
        <f t="shared" si="5"/>
        <v>0</v>
      </c>
      <c r="L43" s="422">
        <f t="shared" si="5"/>
        <v>0</v>
      </c>
      <c r="M43" s="422">
        <f t="shared" si="5"/>
        <v>0</v>
      </c>
      <c r="N43" s="422">
        <f t="shared" si="5"/>
        <v>0</v>
      </c>
      <c r="O43" s="422">
        <f t="shared" si="5"/>
        <v>0</v>
      </c>
      <c r="P43" s="422">
        <f t="shared" si="5"/>
        <v>0</v>
      </c>
      <c r="Q43" s="421">
        <f t="shared" si="1"/>
        <v>0</v>
      </c>
    </row>
    <row r="44" spans="2:17" x14ac:dyDescent="0.3">
      <c r="B44" s="401" t="e">
        <f>Orçamento!#REF!</f>
        <v>#REF!</v>
      </c>
      <c r="D44" s="423"/>
      <c r="E44" s="423"/>
      <c r="F44" s="422">
        <f t="shared" ref="F44:P44" si="6">E44</f>
        <v>0</v>
      </c>
      <c r="G44" s="422">
        <f t="shared" si="6"/>
        <v>0</v>
      </c>
      <c r="H44" s="422">
        <f t="shared" si="6"/>
        <v>0</v>
      </c>
      <c r="I44" s="422">
        <f t="shared" si="6"/>
        <v>0</v>
      </c>
      <c r="J44" s="422">
        <f t="shared" si="6"/>
        <v>0</v>
      </c>
      <c r="K44" s="422">
        <f t="shared" si="6"/>
        <v>0</v>
      </c>
      <c r="L44" s="422">
        <f t="shared" si="6"/>
        <v>0</v>
      </c>
      <c r="M44" s="422">
        <f t="shared" si="6"/>
        <v>0</v>
      </c>
      <c r="N44" s="422">
        <f t="shared" si="6"/>
        <v>0</v>
      </c>
      <c r="O44" s="422">
        <f t="shared" si="6"/>
        <v>0</v>
      </c>
      <c r="P44" s="422">
        <f t="shared" si="6"/>
        <v>0</v>
      </c>
      <c r="Q44" s="421">
        <f t="shared" si="1"/>
        <v>0</v>
      </c>
    </row>
    <row r="45" spans="2:17" x14ac:dyDescent="0.3">
      <c r="B45" s="401" t="e">
        <f>Orçamento!#REF!</f>
        <v>#REF!</v>
      </c>
      <c r="D45" s="423"/>
      <c r="E45" s="423"/>
      <c r="F45" s="422">
        <f t="shared" ref="F45:P45" si="7">E45</f>
        <v>0</v>
      </c>
      <c r="G45" s="422">
        <f t="shared" si="7"/>
        <v>0</v>
      </c>
      <c r="H45" s="422">
        <f t="shared" si="7"/>
        <v>0</v>
      </c>
      <c r="I45" s="422">
        <f t="shared" si="7"/>
        <v>0</v>
      </c>
      <c r="J45" s="422">
        <f t="shared" si="7"/>
        <v>0</v>
      </c>
      <c r="K45" s="422">
        <f t="shared" si="7"/>
        <v>0</v>
      </c>
      <c r="L45" s="422">
        <f t="shared" si="7"/>
        <v>0</v>
      </c>
      <c r="M45" s="422">
        <f t="shared" si="7"/>
        <v>0</v>
      </c>
      <c r="N45" s="422">
        <f t="shared" si="7"/>
        <v>0</v>
      </c>
      <c r="O45" s="422">
        <f t="shared" si="7"/>
        <v>0</v>
      </c>
      <c r="P45" s="422">
        <f t="shared" si="7"/>
        <v>0</v>
      </c>
      <c r="Q45" s="421">
        <f t="shared" si="1"/>
        <v>0</v>
      </c>
    </row>
    <row r="46" spans="2:17" x14ac:dyDescent="0.3">
      <c r="B46" s="401" t="e">
        <f>Orçamento!#REF!</f>
        <v>#REF!</v>
      </c>
      <c r="D46" s="423"/>
      <c r="E46" s="423"/>
      <c r="F46" s="422">
        <f t="shared" ref="F46:P46" si="8">E46</f>
        <v>0</v>
      </c>
      <c r="G46" s="422">
        <f t="shared" si="8"/>
        <v>0</v>
      </c>
      <c r="H46" s="422">
        <f t="shared" si="8"/>
        <v>0</v>
      </c>
      <c r="I46" s="422">
        <f t="shared" si="8"/>
        <v>0</v>
      </c>
      <c r="J46" s="422">
        <f t="shared" si="8"/>
        <v>0</v>
      </c>
      <c r="K46" s="422">
        <f t="shared" si="8"/>
        <v>0</v>
      </c>
      <c r="L46" s="422">
        <f t="shared" si="8"/>
        <v>0</v>
      </c>
      <c r="M46" s="422">
        <f t="shared" si="8"/>
        <v>0</v>
      </c>
      <c r="N46" s="422">
        <f t="shared" si="8"/>
        <v>0</v>
      </c>
      <c r="O46" s="422">
        <f t="shared" si="8"/>
        <v>0</v>
      </c>
      <c r="P46" s="422">
        <f t="shared" si="8"/>
        <v>0</v>
      </c>
      <c r="Q46" s="421">
        <f t="shared" si="1"/>
        <v>0</v>
      </c>
    </row>
    <row r="47" spans="2:17" x14ac:dyDescent="0.3">
      <c r="B47" s="401" t="e">
        <f>Orçamento!#REF!</f>
        <v>#REF!</v>
      </c>
      <c r="D47" s="423"/>
      <c r="E47" s="423"/>
      <c r="F47" s="422">
        <f t="shared" ref="F47:P47" si="9">E47</f>
        <v>0</v>
      </c>
      <c r="G47" s="422">
        <f t="shared" si="9"/>
        <v>0</v>
      </c>
      <c r="H47" s="422">
        <f t="shared" si="9"/>
        <v>0</v>
      </c>
      <c r="I47" s="422">
        <f t="shared" si="9"/>
        <v>0</v>
      </c>
      <c r="J47" s="422">
        <f t="shared" si="9"/>
        <v>0</v>
      </c>
      <c r="K47" s="422">
        <f t="shared" si="9"/>
        <v>0</v>
      </c>
      <c r="L47" s="422">
        <f t="shared" si="9"/>
        <v>0</v>
      </c>
      <c r="M47" s="422">
        <f t="shared" si="9"/>
        <v>0</v>
      </c>
      <c r="N47" s="422">
        <f t="shared" si="9"/>
        <v>0</v>
      </c>
      <c r="O47" s="422">
        <f t="shared" si="9"/>
        <v>0</v>
      </c>
      <c r="P47" s="422">
        <f t="shared" si="9"/>
        <v>0</v>
      </c>
      <c r="Q47" s="421">
        <f t="shared" si="1"/>
        <v>0</v>
      </c>
    </row>
    <row r="48" spans="2:17" x14ac:dyDescent="0.3">
      <c r="B48" s="401" t="e">
        <f>Orçamento!#REF!</f>
        <v>#REF!</v>
      </c>
      <c r="D48" s="423"/>
      <c r="E48" s="423"/>
      <c r="F48" s="422">
        <f t="shared" ref="F48:P48" si="10">E48</f>
        <v>0</v>
      </c>
      <c r="G48" s="422">
        <f t="shared" si="10"/>
        <v>0</v>
      </c>
      <c r="H48" s="422">
        <f t="shared" si="10"/>
        <v>0</v>
      </c>
      <c r="I48" s="422">
        <f t="shared" si="10"/>
        <v>0</v>
      </c>
      <c r="J48" s="422">
        <f t="shared" si="10"/>
        <v>0</v>
      </c>
      <c r="K48" s="422">
        <f t="shared" si="10"/>
        <v>0</v>
      </c>
      <c r="L48" s="422">
        <f t="shared" si="10"/>
        <v>0</v>
      </c>
      <c r="M48" s="422">
        <f t="shared" si="10"/>
        <v>0</v>
      </c>
      <c r="N48" s="422">
        <f t="shared" si="10"/>
        <v>0</v>
      </c>
      <c r="O48" s="422">
        <f t="shared" si="10"/>
        <v>0</v>
      </c>
      <c r="P48" s="422">
        <f t="shared" si="10"/>
        <v>0</v>
      </c>
      <c r="Q48" s="421">
        <f t="shared" si="1"/>
        <v>0</v>
      </c>
    </row>
    <row r="49" spans="2:17" x14ac:dyDescent="0.3">
      <c r="B49" s="401" t="e">
        <f>Orçamento!#REF!</f>
        <v>#REF!</v>
      </c>
      <c r="D49" s="423"/>
      <c r="E49" s="423"/>
      <c r="F49" s="422">
        <f t="shared" ref="F49:P49" si="11">E49</f>
        <v>0</v>
      </c>
      <c r="G49" s="422">
        <f t="shared" si="11"/>
        <v>0</v>
      </c>
      <c r="H49" s="422">
        <f t="shared" si="11"/>
        <v>0</v>
      </c>
      <c r="I49" s="422">
        <f t="shared" si="11"/>
        <v>0</v>
      </c>
      <c r="J49" s="422">
        <f t="shared" si="11"/>
        <v>0</v>
      </c>
      <c r="K49" s="422">
        <f t="shared" si="11"/>
        <v>0</v>
      </c>
      <c r="L49" s="422">
        <f t="shared" si="11"/>
        <v>0</v>
      </c>
      <c r="M49" s="422">
        <f t="shared" si="11"/>
        <v>0</v>
      </c>
      <c r="N49" s="422">
        <f t="shared" si="11"/>
        <v>0</v>
      </c>
      <c r="O49" s="422">
        <f t="shared" si="11"/>
        <v>0</v>
      </c>
      <c r="P49" s="422">
        <f t="shared" si="11"/>
        <v>0</v>
      </c>
      <c r="Q49" s="421">
        <f t="shared" si="1"/>
        <v>0</v>
      </c>
    </row>
    <row r="50" spans="2:17" x14ac:dyDescent="0.3">
      <c r="B50" s="401" t="e">
        <f>Orçamento!#REF!</f>
        <v>#REF!</v>
      </c>
      <c r="D50" s="423"/>
      <c r="E50" s="423"/>
      <c r="F50" s="422">
        <f t="shared" ref="F50:P50" si="12">E50</f>
        <v>0</v>
      </c>
      <c r="G50" s="422">
        <f t="shared" si="12"/>
        <v>0</v>
      </c>
      <c r="H50" s="422">
        <f t="shared" si="12"/>
        <v>0</v>
      </c>
      <c r="I50" s="422">
        <f t="shared" si="12"/>
        <v>0</v>
      </c>
      <c r="J50" s="422">
        <f t="shared" si="12"/>
        <v>0</v>
      </c>
      <c r="K50" s="422">
        <f t="shared" si="12"/>
        <v>0</v>
      </c>
      <c r="L50" s="422">
        <f t="shared" si="12"/>
        <v>0</v>
      </c>
      <c r="M50" s="422">
        <f t="shared" si="12"/>
        <v>0</v>
      </c>
      <c r="N50" s="422">
        <f t="shared" si="12"/>
        <v>0</v>
      </c>
      <c r="O50" s="422">
        <f t="shared" si="12"/>
        <v>0</v>
      </c>
      <c r="P50" s="422">
        <f t="shared" si="12"/>
        <v>0</v>
      </c>
      <c r="Q50" s="421">
        <f t="shared" si="1"/>
        <v>0</v>
      </c>
    </row>
    <row r="51" spans="2:17" x14ac:dyDescent="0.3">
      <c r="B51" s="401" t="e">
        <f>Orçamento!#REF!</f>
        <v>#REF!</v>
      </c>
      <c r="D51" s="423"/>
      <c r="E51" s="423"/>
      <c r="F51" s="422">
        <f t="shared" ref="F51:P51" si="13">E51</f>
        <v>0</v>
      </c>
      <c r="G51" s="422">
        <f t="shared" si="13"/>
        <v>0</v>
      </c>
      <c r="H51" s="422">
        <f t="shared" si="13"/>
        <v>0</v>
      </c>
      <c r="I51" s="422">
        <f t="shared" si="13"/>
        <v>0</v>
      </c>
      <c r="J51" s="422">
        <f t="shared" si="13"/>
        <v>0</v>
      </c>
      <c r="K51" s="422">
        <f t="shared" si="13"/>
        <v>0</v>
      </c>
      <c r="L51" s="422">
        <f t="shared" si="13"/>
        <v>0</v>
      </c>
      <c r="M51" s="422">
        <f t="shared" si="13"/>
        <v>0</v>
      </c>
      <c r="N51" s="422">
        <f t="shared" si="13"/>
        <v>0</v>
      </c>
      <c r="O51" s="422">
        <f t="shared" si="13"/>
        <v>0</v>
      </c>
      <c r="P51" s="422">
        <f t="shared" si="13"/>
        <v>0</v>
      </c>
      <c r="Q51" s="421">
        <f t="shared" si="1"/>
        <v>0</v>
      </c>
    </row>
    <row r="52" spans="2:17" x14ac:dyDescent="0.3">
      <c r="B52" s="379" t="e">
        <f>Orçamento!#REF!</f>
        <v>#REF!</v>
      </c>
      <c r="D52" s="423"/>
      <c r="E52" s="423"/>
      <c r="F52" s="422">
        <f t="shared" ref="F52:P52" si="14">E52</f>
        <v>0</v>
      </c>
      <c r="G52" s="422">
        <f t="shared" si="14"/>
        <v>0</v>
      </c>
      <c r="H52" s="422">
        <f t="shared" si="14"/>
        <v>0</v>
      </c>
      <c r="I52" s="422">
        <f t="shared" si="14"/>
        <v>0</v>
      </c>
      <c r="J52" s="422">
        <f t="shared" si="14"/>
        <v>0</v>
      </c>
      <c r="K52" s="422">
        <f t="shared" si="14"/>
        <v>0</v>
      </c>
      <c r="L52" s="422">
        <f t="shared" si="14"/>
        <v>0</v>
      </c>
      <c r="M52" s="422">
        <f t="shared" si="14"/>
        <v>0</v>
      </c>
      <c r="N52" s="422">
        <f t="shared" si="14"/>
        <v>0</v>
      </c>
      <c r="O52" s="422">
        <f t="shared" si="14"/>
        <v>0</v>
      </c>
      <c r="P52" s="422">
        <f t="shared" si="14"/>
        <v>0</v>
      </c>
      <c r="Q52" s="421">
        <f t="shared" si="1"/>
        <v>0</v>
      </c>
    </row>
    <row r="56" spans="2:17" x14ac:dyDescent="0.3">
      <c r="E56" s="420"/>
      <c r="F56" s="420"/>
      <c r="G56" s="420"/>
      <c r="H56" s="420"/>
      <c r="I56" s="420"/>
    </row>
    <row r="57" spans="2:17" x14ac:dyDescent="0.3">
      <c r="B57" s="419" t="s">
        <v>488</v>
      </c>
    </row>
    <row r="58" spans="2:17" x14ac:dyDescent="0.3">
      <c r="B58" s="417"/>
      <c r="C58" s="416"/>
      <c r="D58" s="416"/>
    </row>
    <row r="59" spans="2:17" x14ac:dyDescent="0.3">
      <c r="B59" s="417" t="s">
        <v>487</v>
      </c>
      <c r="C59" s="418"/>
      <c r="D59" s="418" t="e">
        <f>NPV([4]Param!D4,E5:I5)+D5</f>
        <v>#VALUE!</v>
      </c>
    </row>
    <row r="60" spans="2:17" x14ac:dyDescent="0.3">
      <c r="B60" s="417" t="s">
        <v>486</v>
      </c>
      <c r="D60" s="382">
        <f>COUNTIF(D6:I6,"&lt;=0")</f>
        <v>0</v>
      </c>
    </row>
    <row r="61" spans="2:17" x14ac:dyDescent="0.3">
      <c r="B61" s="417" t="s">
        <v>485</v>
      </c>
      <c r="C61" s="416"/>
      <c r="D61" s="415">
        <f>SUM(E5:I5)/-D5</f>
        <v>-0.30296755870949799</v>
      </c>
    </row>
  </sheetData>
  <mergeCells count="2">
    <mergeCell ref="B2:C2"/>
    <mergeCell ref="E2:P2"/>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25E9E-9A23-4449-A797-AAD56FC0E9DD}">
  <dimension ref="B2:E22"/>
  <sheetViews>
    <sheetView showGridLines="0" zoomScale="65" workbookViewId="0">
      <selection activeCell="G12" sqref="G12"/>
    </sheetView>
  </sheetViews>
  <sheetFormatPr defaultColWidth="9.33203125" defaultRowHeight="14.4" x14ac:dyDescent="0.3"/>
  <cols>
    <col min="1" max="1" width="2.6640625" style="379" customWidth="1"/>
    <col min="2" max="2" width="16.5546875" style="379" customWidth="1"/>
    <col min="3" max="3" width="35.44140625" style="379" customWidth="1"/>
    <col min="4" max="4" width="33.44140625" style="379" customWidth="1"/>
    <col min="5" max="16384" width="9.33203125" style="379"/>
  </cols>
  <sheetData>
    <row r="2" spans="2:5" x14ac:dyDescent="0.3">
      <c r="B2" s="436" t="s">
        <v>492</v>
      </c>
      <c r="C2" s="436" t="s">
        <v>493</v>
      </c>
      <c r="D2" s="436" t="s">
        <v>494</v>
      </c>
    </row>
    <row r="3" spans="2:5" x14ac:dyDescent="0.3">
      <c r="B3" s="437" t="s">
        <v>495</v>
      </c>
      <c r="C3" s="437" t="s">
        <v>496</v>
      </c>
      <c r="D3" s="437" t="s">
        <v>497</v>
      </c>
      <c r="E3" s="437" t="s">
        <v>98</v>
      </c>
    </row>
    <row r="4" spans="2:5" x14ac:dyDescent="0.3">
      <c r="B4" s="437" t="s">
        <v>498</v>
      </c>
      <c r="C4" s="437" t="s">
        <v>499</v>
      </c>
      <c r="D4" s="438" t="s">
        <v>500</v>
      </c>
      <c r="E4" s="437" t="s">
        <v>98</v>
      </c>
    </row>
    <row r="5" spans="2:5" x14ac:dyDescent="0.3">
      <c r="B5" s="437" t="s">
        <v>501</v>
      </c>
      <c r="C5" s="437" t="s">
        <v>502</v>
      </c>
      <c r="D5" s="437" t="s">
        <v>503</v>
      </c>
      <c r="E5" s="437" t="s">
        <v>98</v>
      </c>
    </row>
    <row r="6" spans="2:5" x14ac:dyDescent="0.3">
      <c r="B6" s="437" t="s">
        <v>504</v>
      </c>
      <c r="C6" s="437" t="s">
        <v>505</v>
      </c>
      <c r="D6" s="437" t="s">
        <v>506</v>
      </c>
      <c r="E6" s="437" t="s">
        <v>98</v>
      </c>
    </row>
    <row r="7" spans="2:5" x14ac:dyDescent="0.3">
      <c r="B7" s="437" t="s">
        <v>507</v>
      </c>
      <c r="C7" s="437" t="s">
        <v>508</v>
      </c>
      <c r="D7" s="437" t="s">
        <v>509</v>
      </c>
      <c r="E7" s="437" t="s">
        <v>98</v>
      </c>
    </row>
    <row r="8" spans="2:5" x14ac:dyDescent="0.3">
      <c r="B8" s="437" t="s">
        <v>510</v>
      </c>
      <c r="C8" s="437" t="s">
        <v>511</v>
      </c>
      <c r="D8" s="437" t="s">
        <v>512</v>
      </c>
      <c r="E8" s="437" t="s">
        <v>98</v>
      </c>
    </row>
    <row r="15" spans="2:5" x14ac:dyDescent="0.3">
      <c r="B15" s="379" t="s">
        <v>513</v>
      </c>
    </row>
    <row r="16" spans="2:5" x14ac:dyDescent="0.3">
      <c r="B16" s="406" t="s">
        <v>514</v>
      </c>
    </row>
    <row r="17" spans="2:3" x14ac:dyDescent="0.3">
      <c r="B17" s="400" t="s">
        <v>495</v>
      </c>
      <c r="C17" s="439" t="s">
        <v>515</v>
      </c>
    </row>
    <row r="18" spans="2:3" x14ac:dyDescent="0.3">
      <c r="B18" s="400" t="s">
        <v>516</v>
      </c>
      <c r="C18" s="440">
        <v>45870</v>
      </c>
    </row>
    <row r="19" spans="2:3" x14ac:dyDescent="0.3">
      <c r="B19" s="400" t="s">
        <v>481</v>
      </c>
      <c r="C19" s="441" t="s">
        <v>517</v>
      </c>
    </row>
    <row r="20" spans="2:3" x14ac:dyDescent="0.3">
      <c r="B20" s="442"/>
      <c r="C20" s="443"/>
    </row>
    <row r="21" spans="2:3" x14ac:dyDescent="0.3">
      <c r="B21" s="400"/>
      <c r="C21" s="444"/>
    </row>
    <row r="22" spans="2:3" x14ac:dyDescent="0.3">
      <c r="B22" s="400"/>
      <c r="C22" s="44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FA39-8A59-4D19-ABAC-3A9242360E36}">
  <sheetPr codeName="Plan3"/>
  <dimension ref="A5:U16"/>
  <sheetViews>
    <sheetView showGridLines="0" zoomScale="87" workbookViewId="0">
      <selection activeCell="F20" sqref="F20"/>
    </sheetView>
  </sheetViews>
  <sheetFormatPr defaultRowHeight="13.2" x14ac:dyDescent="0.25"/>
  <cols>
    <col min="1" max="1" width="3" customWidth="1"/>
    <col min="2" max="2" width="13.5546875" customWidth="1"/>
    <col min="3" max="3" width="4" customWidth="1"/>
    <col min="4" max="4" width="4.88671875" customWidth="1"/>
    <col min="5" max="10" width="11" customWidth="1"/>
    <col min="11" max="11" width="3" customWidth="1"/>
    <col min="12" max="255" width="9" customWidth="1"/>
    <col min="257" max="257" width="3" customWidth="1"/>
    <col min="258" max="258" width="13.5546875" customWidth="1"/>
    <col min="259" max="259" width="4" customWidth="1"/>
    <col min="260" max="260" width="4.88671875" customWidth="1"/>
    <col min="261" max="266" width="11" customWidth="1"/>
    <col min="267" max="267" width="3" customWidth="1"/>
    <col min="268" max="511" width="9" customWidth="1"/>
    <col min="513" max="513" width="3" customWidth="1"/>
    <col min="514" max="514" width="13.5546875" customWidth="1"/>
    <col min="515" max="515" width="4" customWidth="1"/>
    <col min="516" max="516" width="4.88671875" customWidth="1"/>
    <col min="517" max="522" width="11" customWidth="1"/>
    <col min="523" max="523" width="3" customWidth="1"/>
    <col min="524" max="767" width="9" customWidth="1"/>
    <col min="769" max="769" width="3" customWidth="1"/>
    <col min="770" max="770" width="13.5546875" customWidth="1"/>
    <col min="771" max="771" width="4" customWidth="1"/>
    <col min="772" max="772" width="4.88671875" customWidth="1"/>
    <col min="773" max="778" width="11" customWidth="1"/>
    <col min="779" max="779" width="3" customWidth="1"/>
    <col min="780" max="1023" width="9" customWidth="1"/>
    <col min="1025" max="1025" width="3" customWidth="1"/>
    <col min="1026" max="1026" width="13.5546875" customWidth="1"/>
    <col min="1027" max="1027" width="4" customWidth="1"/>
    <col min="1028" max="1028" width="4.88671875" customWidth="1"/>
    <col min="1029" max="1034" width="11" customWidth="1"/>
    <col min="1035" max="1035" width="3" customWidth="1"/>
    <col min="1036" max="1279" width="9" customWidth="1"/>
    <col min="1281" max="1281" width="3" customWidth="1"/>
    <col min="1282" max="1282" width="13.5546875" customWidth="1"/>
    <col min="1283" max="1283" width="4" customWidth="1"/>
    <col min="1284" max="1284" width="4.88671875" customWidth="1"/>
    <col min="1285" max="1290" width="11" customWidth="1"/>
    <col min="1291" max="1291" width="3" customWidth="1"/>
    <col min="1292" max="1535" width="9" customWidth="1"/>
    <col min="1537" max="1537" width="3" customWidth="1"/>
    <col min="1538" max="1538" width="13.5546875" customWidth="1"/>
    <col min="1539" max="1539" width="4" customWidth="1"/>
    <col min="1540" max="1540" width="4.88671875" customWidth="1"/>
    <col min="1541" max="1546" width="11" customWidth="1"/>
    <col min="1547" max="1547" width="3" customWidth="1"/>
    <col min="1548" max="1791" width="9" customWidth="1"/>
    <col min="1793" max="1793" width="3" customWidth="1"/>
    <col min="1794" max="1794" width="13.5546875" customWidth="1"/>
    <col min="1795" max="1795" width="4" customWidth="1"/>
    <col min="1796" max="1796" width="4.88671875" customWidth="1"/>
    <col min="1797" max="1802" width="11" customWidth="1"/>
    <col min="1803" max="1803" width="3" customWidth="1"/>
    <col min="1804" max="2047" width="9" customWidth="1"/>
    <col min="2049" max="2049" width="3" customWidth="1"/>
    <col min="2050" max="2050" width="13.5546875" customWidth="1"/>
    <col min="2051" max="2051" width="4" customWidth="1"/>
    <col min="2052" max="2052" width="4.88671875" customWidth="1"/>
    <col min="2053" max="2058" width="11" customWidth="1"/>
    <col min="2059" max="2059" width="3" customWidth="1"/>
    <col min="2060" max="2303" width="9" customWidth="1"/>
    <col min="2305" max="2305" width="3" customWidth="1"/>
    <col min="2306" max="2306" width="13.5546875" customWidth="1"/>
    <col min="2307" max="2307" width="4" customWidth="1"/>
    <col min="2308" max="2308" width="4.88671875" customWidth="1"/>
    <col min="2309" max="2314" width="11" customWidth="1"/>
    <col min="2315" max="2315" width="3" customWidth="1"/>
    <col min="2316" max="2559" width="9" customWidth="1"/>
    <col min="2561" max="2561" width="3" customWidth="1"/>
    <col min="2562" max="2562" width="13.5546875" customWidth="1"/>
    <col min="2563" max="2563" width="4" customWidth="1"/>
    <col min="2564" max="2564" width="4.88671875" customWidth="1"/>
    <col min="2565" max="2570" width="11" customWidth="1"/>
    <col min="2571" max="2571" width="3" customWidth="1"/>
    <col min="2572" max="2815" width="9" customWidth="1"/>
    <col min="2817" max="2817" width="3" customWidth="1"/>
    <col min="2818" max="2818" width="13.5546875" customWidth="1"/>
    <col min="2819" max="2819" width="4" customWidth="1"/>
    <col min="2820" max="2820" width="4.88671875" customWidth="1"/>
    <col min="2821" max="2826" width="11" customWidth="1"/>
    <col min="2827" max="2827" width="3" customWidth="1"/>
    <col min="2828" max="3071" width="9" customWidth="1"/>
    <col min="3073" max="3073" width="3" customWidth="1"/>
    <col min="3074" max="3074" width="13.5546875" customWidth="1"/>
    <col min="3075" max="3075" width="4" customWidth="1"/>
    <col min="3076" max="3076" width="4.88671875" customWidth="1"/>
    <col min="3077" max="3082" width="11" customWidth="1"/>
    <col min="3083" max="3083" width="3" customWidth="1"/>
    <col min="3084" max="3327" width="9" customWidth="1"/>
    <col min="3329" max="3329" width="3" customWidth="1"/>
    <col min="3330" max="3330" width="13.5546875" customWidth="1"/>
    <col min="3331" max="3331" width="4" customWidth="1"/>
    <col min="3332" max="3332" width="4.88671875" customWidth="1"/>
    <col min="3333" max="3338" width="11" customWidth="1"/>
    <col min="3339" max="3339" width="3" customWidth="1"/>
    <col min="3340" max="3583" width="9" customWidth="1"/>
    <col min="3585" max="3585" width="3" customWidth="1"/>
    <col min="3586" max="3586" width="13.5546875" customWidth="1"/>
    <col min="3587" max="3587" width="4" customWidth="1"/>
    <col min="3588" max="3588" width="4.88671875" customWidth="1"/>
    <col min="3589" max="3594" width="11" customWidth="1"/>
    <col min="3595" max="3595" width="3" customWidth="1"/>
    <col min="3596" max="3839" width="9" customWidth="1"/>
    <col min="3841" max="3841" width="3" customWidth="1"/>
    <col min="3842" max="3842" width="13.5546875" customWidth="1"/>
    <col min="3843" max="3843" width="4" customWidth="1"/>
    <col min="3844" max="3844" width="4.88671875" customWidth="1"/>
    <col min="3845" max="3850" width="11" customWidth="1"/>
    <col min="3851" max="3851" width="3" customWidth="1"/>
    <col min="3852" max="4095" width="9" customWidth="1"/>
    <col min="4097" max="4097" width="3" customWidth="1"/>
    <col min="4098" max="4098" width="13.5546875" customWidth="1"/>
    <col min="4099" max="4099" width="4" customWidth="1"/>
    <col min="4100" max="4100" width="4.88671875" customWidth="1"/>
    <col min="4101" max="4106" width="11" customWidth="1"/>
    <col min="4107" max="4107" width="3" customWidth="1"/>
    <col min="4108" max="4351" width="9" customWidth="1"/>
    <col min="4353" max="4353" width="3" customWidth="1"/>
    <col min="4354" max="4354" width="13.5546875" customWidth="1"/>
    <col min="4355" max="4355" width="4" customWidth="1"/>
    <col min="4356" max="4356" width="4.88671875" customWidth="1"/>
    <col min="4357" max="4362" width="11" customWidth="1"/>
    <col min="4363" max="4363" width="3" customWidth="1"/>
    <col min="4364" max="4607" width="9" customWidth="1"/>
    <col min="4609" max="4609" width="3" customWidth="1"/>
    <col min="4610" max="4610" width="13.5546875" customWidth="1"/>
    <col min="4611" max="4611" width="4" customWidth="1"/>
    <col min="4612" max="4612" width="4.88671875" customWidth="1"/>
    <col min="4613" max="4618" width="11" customWidth="1"/>
    <col min="4619" max="4619" width="3" customWidth="1"/>
    <col min="4620" max="4863" width="9" customWidth="1"/>
    <col min="4865" max="4865" width="3" customWidth="1"/>
    <col min="4866" max="4866" width="13.5546875" customWidth="1"/>
    <col min="4867" max="4867" width="4" customWidth="1"/>
    <col min="4868" max="4868" width="4.88671875" customWidth="1"/>
    <col min="4869" max="4874" width="11" customWidth="1"/>
    <col min="4875" max="4875" width="3" customWidth="1"/>
    <col min="4876" max="5119" width="9" customWidth="1"/>
    <col min="5121" max="5121" width="3" customWidth="1"/>
    <col min="5122" max="5122" width="13.5546875" customWidth="1"/>
    <col min="5123" max="5123" width="4" customWidth="1"/>
    <col min="5124" max="5124" width="4.88671875" customWidth="1"/>
    <col min="5125" max="5130" width="11" customWidth="1"/>
    <col min="5131" max="5131" width="3" customWidth="1"/>
    <col min="5132" max="5375" width="9" customWidth="1"/>
    <col min="5377" max="5377" width="3" customWidth="1"/>
    <col min="5378" max="5378" width="13.5546875" customWidth="1"/>
    <col min="5379" max="5379" width="4" customWidth="1"/>
    <col min="5380" max="5380" width="4.88671875" customWidth="1"/>
    <col min="5381" max="5386" width="11" customWidth="1"/>
    <col min="5387" max="5387" width="3" customWidth="1"/>
    <col min="5388" max="5631" width="9" customWidth="1"/>
    <col min="5633" max="5633" width="3" customWidth="1"/>
    <col min="5634" max="5634" width="13.5546875" customWidth="1"/>
    <col min="5635" max="5635" width="4" customWidth="1"/>
    <col min="5636" max="5636" width="4.88671875" customWidth="1"/>
    <col min="5637" max="5642" width="11" customWidth="1"/>
    <col min="5643" max="5643" width="3" customWidth="1"/>
    <col min="5644" max="5887" width="9" customWidth="1"/>
    <col min="5889" max="5889" width="3" customWidth="1"/>
    <col min="5890" max="5890" width="13.5546875" customWidth="1"/>
    <col min="5891" max="5891" width="4" customWidth="1"/>
    <col min="5892" max="5892" width="4.88671875" customWidth="1"/>
    <col min="5893" max="5898" width="11" customWidth="1"/>
    <col min="5899" max="5899" width="3" customWidth="1"/>
    <col min="5900" max="6143" width="9" customWidth="1"/>
    <col min="6145" max="6145" width="3" customWidth="1"/>
    <col min="6146" max="6146" width="13.5546875" customWidth="1"/>
    <col min="6147" max="6147" width="4" customWidth="1"/>
    <col min="6148" max="6148" width="4.88671875" customWidth="1"/>
    <col min="6149" max="6154" width="11" customWidth="1"/>
    <col min="6155" max="6155" width="3" customWidth="1"/>
    <col min="6156" max="6399" width="9" customWidth="1"/>
    <col min="6401" max="6401" width="3" customWidth="1"/>
    <col min="6402" max="6402" width="13.5546875" customWidth="1"/>
    <col min="6403" max="6403" width="4" customWidth="1"/>
    <col min="6404" max="6404" width="4.88671875" customWidth="1"/>
    <col min="6405" max="6410" width="11" customWidth="1"/>
    <col min="6411" max="6411" width="3" customWidth="1"/>
    <col min="6412" max="6655" width="9" customWidth="1"/>
    <col min="6657" max="6657" width="3" customWidth="1"/>
    <col min="6658" max="6658" width="13.5546875" customWidth="1"/>
    <col min="6659" max="6659" width="4" customWidth="1"/>
    <col min="6660" max="6660" width="4.88671875" customWidth="1"/>
    <col min="6661" max="6666" width="11" customWidth="1"/>
    <col min="6667" max="6667" width="3" customWidth="1"/>
    <col min="6668" max="6911" width="9" customWidth="1"/>
    <col min="6913" max="6913" width="3" customWidth="1"/>
    <col min="6914" max="6914" width="13.5546875" customWidth="1"/>
    <col min="6915" max="6915" width="4" customWidth="1"/>
    <col min="6916" max="6916" width="4.88671875" customWidth="1"/>
    <col min="6917" max="6922" width="11" customWidth="1"/>
    <col min="6923" max="6923" width="3" customWidth="1"/>
    <col min="6924" max="7167" width="9" customWidth="1"/>
    <col min="7169" max="7169" width="3" customWidth="1"/>
    <col min="7170" max="7170" width="13.5546875" customWidth="1"/>
    <col min="7171" max="7171" width="4" customWidth="1"/>
    <col min="7172" max="7172" width="4.88671875" customWidth="1"/>
    <col min="7173" max="7178" width="11" customWidth="1"/>
    <col min="7179" max="7179" width="3" customWidth="1"/>
    <col min="7180" max="7423" width="9" customWidth="1"/>
    <col min="7425" max="7425" width="3" customWidth="1"/>
    <col min="7426" max="7426" width="13.5546875" customWidth="1"/>
    <col min="7427" max="7427" width="4" customWidth="1"/>
    <col min="7428" max="7428" width="4.88671875" customWidth="1"/>
    <col min="7429" max="7434" width="11" customWidth="1"/>
    <col min="7435" max="7435" width="3" customWidth="1"/>
    <col min="7436" max="7679" width="9" customWidth="1"/>
    <col min="7681" max="7681" width="3" customWidth="1"/>
    <col min="7682" max="7682" width="13.5546875" customWidth="1"/>
    <col min="7683" max="7683" width="4" customWidth="1"/>
    <col min="7684" max="7684" width="4.88671875" customWidth="1"/>
    <col min="7685" max="7690" width="11" customWidth="1"/>
    <col min="7691" max="7691" width="3" customWidth="1"/>
    <col min="7692" max="7935" width="9" customWidth="1"/>
    <col min="7937" max="7937" width="3" customWidth="1"/>
    <col min="7938" max="7938" width="13.5546875" customWidth="1"/>
    <col min="7939" max="7939" width="4" customWidth="1"/>
    <col min="7940" max="7940" width="4.88671875" customWidth="1"/>
    <col min="7941" max="7946" width="11" customWidth="1"/>
    <col min="7947" max="7947" width="3" customWidth="1"/>
    <col min="7948" max="8191" width="9" customWidth="1"/>
    <col min="8193" max="8193" width="3" customWidth="1"/>
    <col min="8194" max="8194" width="13.5546875" customWidth="1"/>
    <col min="8195" max="8195" width="4" customWidth="1"/>
    <col min="8196" max="8196" width="4.88671875" customWidth="1"/>
    <col min="8197" max="8202" width="11" customWidth="1"/>
    <col min="8203" max="8203" width="3" customWidth="1"/>
    <col min="8204" max="8447" width="9" customWidth="1"/>
    <col min="8449" max="8449" width="3" customWidth="1"/>
    <col min="8450" max="8450" width="13.5546875" customWidth="1"/>
    <col min="8451" max="8451" width="4" customWidth="1"/>
    <col min="8452" max="8452" width="4.88671875" customWidth="1"/>
    <col min="8453" max="8458" width="11" customWidth="1"/>
    <col min="8459" max="8459" width="3" customWidth="1"/>
    <col min="8460" max="8703" width="9" customWidth="1"/>
    <col min="8705" max="8705" width="3" customWidth="1"/>
    <col min="8706" max="8706" width="13.5546875" customWidth="1"/>
    <col min="8707" max="8707" width="4" customWidth="1"/>
    <col min="8708" max="8708" width="4.88671875" customWidth="1"/>
    <col min="8709" max="8714" width="11" customWidth="1"/>
    <col min="8715" max="8715" width="3" customWidth="1"/>
    <col min="8716" max="8959" width="9" customWidth="1"/>
    <col min="8961" max="8961" width="3" customWidth="1"/>
    <col min="8962" max="8962" width="13.5546875" customWidth="1"/>
    <col min="8963" max="8963" width="4" customWidth="1"/>
    <col min="8964" max="8964" width="4.88671875" customWidth="1"/>
    <col min="8965" max="8970" width="11" customWidth="1"/>
    <col min="8971" max="8971" width="3" customWidth="1"/>
    <col min="8972" max="9215" width="9" customWidth="1"/>
    <col min="9217" max="9217" width="3" customWidth="1"/>
    <col min="9218" max="9218" width="13.5546875" customWidth="1"/>
    <col min="9219" max="9219" width="4" customWidth="1"/>
    <col min="9220" max="9220" width="4.88671875" customWidth="1"/>
    <col min="9221" max="9226" width="11" customWidth="1"/>
    <col min="9227" max="9227" width="3" customWidth="1"/>
    <col min="9228" max="9471" width="9" customWidth="1"/>
    <col min="9473" max="9473" width="3" customWidth="1"/>
    <col min="9474" max="9474" width="13.5546875" customWidth="1"/>
    <col min="9475" max="9475" width="4" customWidth="1"/>
    <col min="9476" max="9476" width="4.88671875" customWidth="1"/>
    <col min="9477" max="9482" width="11" customWidth="1"/>
    <col min="9483" max="9483" width="3" customWidth="1"/>
    <col min="9484" max="9727" width="9" customWidth="1"/>
    <col min="9729" max="9729" width="3" customWidth="1"/>
    <col min="9730" max="9730" width="13.5546875" customWidth="1"/>
    <col min="9731" max="9731" width="4" customWidth="1"/>
    <col min="9732" max="9732" width="4.88671875" customWidth="1"/>
    <col min="9733" max="9738" width="11" customWidth="1"/>
    <col min="9739" max="9739" width="3" customWidth="1"/>
    <col min="9740" max="9983" width="9" customWidth="1"/>
    <col min="9985" max="9985" width="3" customWidth="1"/>
    <col min="9986" max="9986" width="13.5546875" customWidth="1"/>
    <col min="9987" max="9987" width="4" customWidth="1"/>
    <col min="9988" max="9988" width="4.88671875" customWidth="1"/>
    <col min="9989" max="9994" width="11" customWidth="1"/>
    <col min="9995" max="9995" width="3" customWidth="1"/>
    <col min="9996" max="10239" width="9" customWidth="1"/>
    <col min="10241" max="10241" width="3" customWidth="1"/>
    <col min="10242" max="10242" width="13.5546875" customWidth="1"/>
    <col min="10243" max="10243" width="4" customWidth="1"/>
    <col min="10244" max="10244" width="4.88671875" customWidth="1"/>
    <col min="10245" max="10250" width="11" customWidth="1"/>
    <col min="10251" max="10251" width="3" customWidth="1"/>
    <col min="10252" max="10495" width="9" customWidth="1"/>
    <col min="10497" max="10497" width="3" customWidth="1"/>
    <col min="10498" max="10498" width="13.5546875" customWidth="1"/>
    <col min="10499" max="10499" width="4" customWidth="1"/>
    <col min="10500" max="10500" width="4.88671875" customWidth="1"/>
    <col min="10501" max="10506" width="11" customWidth="1"/>
    <col min="10507" max="10507" width="3" customWidth="1"/>
    <col min="10508" max="10751" width="9" customWidth="1"/>
    <col min="10753" max="10753" width="3" customWidth="1"/>
    <col min="10754" max="10754" width="13.5546875" customWidth="1"/>
    <col min="10755" max="10755" width="4" customWidth="1"/>
    <col min="10756" max="10756" width="4.88671875" customWidth="1"/>
    <col min="10757" max="10762" width="11" customWidth="1"/>
    <col min="10763" max="10763" width="3" customWidth="1"/>
    <col min="10764" max="11007" width="9" customWidth="1"/>
    <col min="11009" max="11009" width="3" customWidth="1"/>
    <col min="11010" max="11010" width="13.5546875" customWidth="1"/>
    <col min="11011" max="11011" width="4" customWidth="1"/>
    <col min="11012" max="11012" width="4.88671875" customWidth="1"/>
    <col min="11013" max="11018" width="11" customWidth="1"/>
    <col min="11019" max="11019" width="3" customWidth="1"/>
    <col min="11020" max="11263" width="9" customWidth="1"/>
    <col min="11265" max="11265" width="3" customWidth="1"/>
    <col min="11266" max="11266" width="13.5546875" customWidth="1"/>
    <col min="11267" max="11267" width="4" customWidth="1"/>
    <col min="11268" max="11268" width="4.88671875" customWidth="1"/>
    <col min="11269" max="11274" width="11" customWidth="1"/>
    <col min="11275" max="11275" width="3" customWidth="1"/>
    <col min="11276" max="11519" width="9" customWidth="1"/>
    <col min="11521" max="11521" width="3" customWidth="1"/>
    <col min="11522" max="11522" width="13.5546875" customWidth="1"/>
    <col min="11523" max="11523" width="4" customWidth="1"/>
    <col min="11524" max="11524" width="4.88671875" customWidth="1"/>
    <col min="11525" max="11530" width="11" customWidth="1"/>
    <col min="11531" max="11531" width="3" customWidth="1"/>
    <col min="11532" max="11775" width="9" customWidth="1"/>
    <col min="11777" max="11777" width="3" customWidth="1"/>
    <col min="11778" max="11778" width="13.5546875" customWidth="1"/>
    <col min="11779" max="11779" width="4" customWidth="1"/>
    <col min="11780" max="11780" width="4.88671875" customWidth="1"/>
    <col min="11781" max="11786" width="11" customWidth="1"/>
    <col min="11787" max="11787" width="3" customWidth="1"/>
    <col min="11788" max="12031" width="9" customWidth="1"/>
    <col min="12033" max="12033" width="3" customWidth="1"/>
    <col min="12034" max="12034" width="13.5546875" customWidth="1"/>
    <col min="12035" max="12035" width="4" customWidth="1"/>
    <col min="12036" max="12036" width="4.88671875" customWidth="1"/>
    <col min="12037" max="12042" width="11" customWidth="1"/>
    <col min="12043" max="12043" width="3" customWidth="1"/>
    <col min="12044" max="12287" width="9" customWidth="1"/>
    <col min="12289" max="12289" width="3" customWidth="1"/>
    <col min="12290" max="12290" width="13.5546875" customWidth="1"/>
    <col min="12291" max="12291" width="4" customWidth="1"/>
    <col min="12292" max="12292" width="4.88671875" customWidth="1"/>
    <col min="12293" max="12298" width="11" customWidth="1"/>
    <col min="12299" max="12299" width="3" customWidth="1"/>
    <col min="12300" max="12543" width="9" customWidth="1"/>
    <col min="12545" max="12545" width="3" customWidth="1"/>
    <col min="12546" max="12546" width="13.5546875" customWidth="1"/>
    <col min="12547" max="12547" width="4" customWidth="1"/>
    <col min="12548" max="12548" width="4.88671875" customWidth="1"/>
    <col min="12549" max="12554" width="11" customWidth="1"/>
    <col min="12555" max="12555" width="3" customWidth="1"/>
    <col min="12556" max="12799" width="9" customWidth="1"/>
    <col min="12801" max="12801" width="3" customWidth="1"/>
    <col min="12802" max="12802" width="13.5546875" customWidth="1"/>
    <col min="12803" max="12803" width="4" customWidth="1"/>
    <col min="12804" max="12804" width="4.88671875" customWidth="1"/>
    <col min="12805" max="12810" width="11" customWidth="1"/>
    <col min="12811" max="12811" width="3" customWidth="1"/>
    <col min="12812" max="13055" width="9" customWidth="1"/>
    <col min="13057" max="13057" width="3" customWidth="1"/>
    <col min="13058" max="13058" width="13.5546875" customWidth="1"/>
    <col min="13059" max="13059" width="4" customWidth="1"/>
    <col min="13060" max="13060" width="4.88671875" customWidth="1"/>
    <col min="13061" max="13066" width="11" customWidth="1"/>
    <col min="13067" max="13067" width="3" customWidth="1"/>
    <col min="13068" max="13311" width="9" customWidth="1"/>
    <col min="13313" max="13313" width="3" customWidth="1"/>
    <col min="13314" max="13314" width="13.5546875" customWidth="1"/>
    <col min="13315" max="13315" width="4" customWidth="1"/>
    <col min="13316" max="13316" width="4.88671875" customWidth="1"/>
    <col min="13317" max="13322" width="11" customWidth="1"/>
    <col min="13323" max="13323" width="3" customWidth="1"/>
    <col min="13324" max="13567" width="9" customWidth="1"/>
    <col min="13569" max="13569" width="3" customWidth="1"/>
    <col min="13570" max="13570" width="13.5546875" customWidth="1"/>
    <col min="13571" max="13571" width="4" customWidth="1"/>
    <col min="13572" max="13572" width="4.88671875" customWidth="1"/>
    <col min="13573" max="13578" width="11" customWidth="1"/>
    <col min="13579" max="13579" width="3" customWidth="1"/>
    <col min="13580" max="13823" width="9" customWidth="1"/>
    <col min="13825" max="13825" width="3" customWidth="1"/>
    <col min="13826" max="13826" width="13.5546875" customWidth="1"/>
    <col min="13827" max="13827" width="4" customWidth="1"/>
    <col min="13828" max="13828" width="4.88671875" customWidth="1"/>
    <col min="13829" max="13834" width="11" customWidth="1"/>
    <col min="13835" max="13835" width="3" customWidth="1"/>
    <col min="13836" max="14079" width="9" customWidth="1"/>
    <col min="14081" max="14081" width="3" customWidth="1"/>
    <col min="14082" max="14082" width="13.5546875" customWidth="1"/>
    <col min="14083" max="14083" width="4" customWidth="1"/>
    <col min="14084" max="14084" width="4.88671875" customWidth="1"/>
    <col min="14085" max="14090" width="11" customWidth="1"/>
    <col min="14091" max="14091" width="3" customWidth="1"/>
    <col min="14092" max="14335" width="9" customWidth="1"/>
    <col min="14337" max="14337" width="3" customWidth="1"/>
    <col min="14338" max="14338" width="13.5546875" customWidth="1"/>
    <col min="14339" max="14339" width="4" customWidth="1"/>
    <col min="14340" max="14340" width="4.88671875" customWidth="1"/>
    <col min="14341" max="14346" width="11" customWidth="1"/>
    <col min="14347" max="14347" width="3" customWidth="1"/>
    <col min="14348" max="14591" width="9" customWidth="1"/>
    <col min="14593" max="14593" width="3" customWidth="1"/>
    <col min="14594" max="14594" width="13.5546875" customWidth="1"/>
    <col min="14595" max="14595" width="4" customWidth="1"/>
    <col min="14596" max="14596" width="4.88671875" customWidth="1"/>
    <col min="14597" max="14602" width="11" customWidth="1"/>
    <col min="14603" max="14603" width="3" customWidth="1"/>
    <col min="14604" max="14847" width="9" customWidth="1"/>
    <col min="14849" max="14849" width="3" customWidth="1"/>
    <col min="14850" max="14850" width="13.5546875" customWidth="1"/>
    <col min="14851" max="14851" width="4" customWidth="1"/>
    <col min="14852" max="14852" width="4.88671875" customWidth="1"/>
    <col min="14853" max="14858" width="11" customWidth="1"/>
    <col min="14859" max="14859" width="3" customWidth="1"/>
    <col min="14860" max="15103" width="9" customWidth="1"/>
    <col min="15105" max="15105" width="3" customWidth="1"/>
    <col min="15106" max="15106" width="13.5546875" customWidth="1"/>
    <col min="15107" max="15107" width="4" customWidth="1"/>
    <col min="15108" max="15108" width="4.88671875" customWidth="1"/>
    <col min="15109" max="15114" width="11" customWidth="1"/>
    <col min="15115" max="15115" width="3" customWidth="1"/>
    <col min="15116" max="15359" width="9" customWidth="1"/>
    <col min="15361" max="15361" width="3" customWidth="1"/>
    <col min="15362" max="15362" width="13.5546875" customWidth="1"/>
    <col min="15363" max="15363" width="4" customWidth="1"/>
    <col min="15364" max="15364" width="4.88671875" customWidth="1"/>
    <col min="15365" max="15370" width="11" customWidth="1"/>
    <col min="15371" max="15371" width="3" customWidth="1"/>
    <col min="15372" max="15615" width="9" customWidth="1"/>
    <col min="15617" max="15617" width="3" customWidth="1"/>
    <col min="15618" max="15618" width="13.5546875" customWidth="1"/>
    <col min="15619" max="15619" width="4" customWidth="1"/>
    <col min="15620" max="15620" width="4.88671875" customWidth="1"/>
    <col min="15621" max="15626" width="11" customWidth="1"/>
    <col min="15627" max="15627" width="3" customWidth="1"/>
    <col min="15628" max="15871" width="9" customWidth="1"/>
    <col min="15873" max="15873" width="3" customWidth="1"/>
    <col min="15874" max="15874" width="13.5546875" customWidth="1"/>
    <col min="15875" max="15875" width="4" customWidth="1"/>
    <col min="15876" max="15876" width="4.88671875" customWidth="1"/>
    <col min="15877" max="15882" width="11" customWidth="1"/>
    <col min="15883" max="15883" width="3" customWidth="1"/>
    <col min="15884" max="16127" width="9" customWidth="1"/>
    <col min="16129" max="16129" width="3" customWidth="1"/>
    <col min="16130" max="16130" width="13.5546875" customWidth="1"/>
    <col min="16131" max="16131" width="4" customWidth="1"/>
    <col min="16132" max="16132" width="4.88671875" customWidth="1"/>
    <col min="16133" max="16138" width="11" customWidth="1"/>
    <col min="16139" max="16139" width="3" customWidth="1"/>
    <col min="16140" max="16383" width="9" customWidth="1"/>
  </cols>
  <sheetData>
    <row r="5" spans="1:21" ht="18" customHeight="1" x14ac:dyDescent="0.25">
      <c r="B5" s="631" t="s">
        <v>518</v>
      </c>
      <c r="C5" s="632"/>
      <c r="D5" s="632"/>
      <c r="E5" s="632"/>
      <c r="F5" s="632"/>
      <c r="G5" s="632"/>
      <c r="H5" s="632"/>
      <c r="I5" s="632"/>
      <c r="J5" s="633"/>
    </row>
    <row r="6" spans="1:21" ht="18" customHeight="1" x14ac:dyDescent="0.25">
      <c r="A6" s="445"/>
      <c r="B6" s="634" t="s">
        <v>514</v>
      </c>
      <c r="C6" s="635"/>
      <c r="D6" s="635"/>
      <c r="E6" s="636" t="s">
        <v>515</v>
      </c>
      <c r="F6" s="636"/>
      <c r="G6" s="636"/>
      <c r="H6" s="636"/>
      <c r="I6" s="636"/>
      <c r="J6" s="637"/>
      <c r="K6" s="445"/>
      <c r="L6" s="445"/>
      <c r="M6" s="445"/>
      <c r="N6" s="445"/>
      <c r="O6" s="445"/>
      <c r="P6" s="445"/>
      <c r="Q6" s="445"/>
      <c r="R6" s="445"/>
      <c r="S6" s="445"/>
      <c r="T6" s="445"/>
      <c r="U6" s="445"/>
    </row>
    <row r="7" spans="1:21" ht="18" customHeight="1" x14ac:dyDescent="0.25">
      <c r="A7" s="445"/>
      <c r="B7" s="634" t="s">
        <v>519</v>
      </c>
      <c r="C7" s="635"/>
      <c r="D7" s="635"/>
      <c r="E7" s="636" t="s">
        <v>520</v>
      </c>
      <c r="F7" s="636"/>
      <c r="G7" s="636"/>
      <c r="H7" s="636"/>
      <c r="I7" s="636"/>
      <c r="J7" s="637"/>
      <c r="K7" s="445"/>
      <c r="O7" s="445"/>
      <c r="P7" s="445"/>
      <c r="Q7" s="445"/>
      <c r="R7" s="445"/>
      <c r="S7" s="445"/>
      <c r="T7" s="445"/>
      <c r="U7" s="445"/>
    </row>
    <row r="8" spans="1:21" ht="18" customHeight="1" x14ac:dyDescent="0.25">
      <c r="A8" s="445"/>
      <c r="B8" s="638" t="s">
        <v>521</v>
      </c>
      <c r="C8" s="639"/>
      <c r="D8" s="639"/>
      <c r="E8" s="640">
        <v>45887</v>
      </c>
      <c r="F8" s="640"/>
      <c r="G8" s="640"/>
      <c r="H8" s="640"/>
      <c r="I8" s="640"/>
      <c r="J8" s="641"/>
      <c r="K8" s="445"/>
      <c r="O8" s="445"/>
      <c r="P8" s="445"/>
      <c r="Q8" s="445"/>
      <c r="R8" s="445"/>
      <c r="S8" s="445"/>
      <c r="T8" s="445"/>
      <c r="U8" s="445"/>
    </row>
    <row r="9" spans="1:21" ht="18" customHeight="1" x14ac:dyDescent="0.25">
      <c r="B9" s="642" t="s">
        <v>522</v>
      </c>
      <c r="C9" s="643"/>
      <c r="D9" s="643"/>
      <c r="E9" s="643"/>
      <c r="F9" s="643"/>
      <c r="G9" s="643"/>
      <c r="H9" s="643"/>
      <c r="I9" s="643"/>
      <c r="J9" s="644"/>
    </row>
    <row r="10" spans="1:21" s="14" customFormat="1" ht="30" customHeight="1" x14ac:dyDescent="0.25">
      <c r="B10" s="446" t="s">
        <v>523</v>
      </c>
      <c r="C10" s="628" t="s">
        <v>524</v>
      </c>
      <c r="D10" s="629"/>
      <c r="E10" s="629"/>
      <c r="F10" s="629"/>
      <c r="G10" s="629"/>
      <c r="H10" s="629"/>
      <c r="I10" s="629"/>
      <c r="J10" s="630"/>
    </row>
    <row r="11" spans="1:21" s="14" customFormat="1" ht="30" customHeight="1" x14ac:dyDescent="0.25">
      <c r="B11" s="446" t="s">
        <v>525</v>
      </c>
      <c r="C11" s="628" t="s">
        <v>520</v>
      </c>
      <c r="D11" s="629"/>
      <c r="E11" s="629"/>
      <c r="F11" s="629"/>
      <c r="G11" s="629"/>
      <c r="H11" s="629"/>
      <c r="I11" s="629"/>
      <c r="J11" s="630"/>
    </row>
    <row r="12" spans="1:21" s="14" customFormat="1" ht="30" customHeight="1" x14ac:dyDescent="0.25">
      <c r="B12" s="446" t="s">
        <v>526</v>
      </c>
      <c r="C12" s="645">
        <v>45957</v>
      </c>
      <c r="D12" s="629"/>
      <c r="E12" s="629"/>
      <c r="F12" s="629"/>
      <c r="G12" s="629"/>
      <c r="H12" s="629"/>
      <c r="I12" s="629"/>
      <c r="J12" s="630"/>
    </row>
    <row r="13" spans="1:21" s="14" customFormat="1" ht="30" customHeight="1" x14ac:dyDescent="0.25">
      <c r="B13" s="446" t="s">
        <v>527</v>
      </c>
      <c r="C13" s="628" t="s">
        <v>528</v>
      </c>
      <c r="D13" s="629"/>
      <c r="E13" s="629"/>
      <c r="F13" s="629"/>
      <c r="G13" s="629"/>
      <c r="H13" s="629"/>
      <c r="I13" s="629"/>
      <c r="J13" s="630"/>
    </row>
    <row r="14" spans="1:21" s="14" customFormat="1" ht="30" customHeight="1" x14ac:dyDescent="0.25">
      <c r="B14" s="446" t="s">
        <v>529</v>
      </c>
      <c r="C14" s="628" t="s">
        <v>530</v>
      </c>
      <c r="D14" s="629"/>
      <c r="E14" s="629"/>
      <c r="F14" s="629"/>
      <c r="G14" s="629"/>
      <c r="H14" s="629"/>
      <c r="I14" s="629"/>
      <c r="J14" s="630"/>
    </row>
    <row r="15" spans="1:21" s="14" customFormat="1" ht="30" customHeight="1" x14ac:dyDescent="0.25">
      <c r="B15"/>
      <c r="C15"/>
      <c r="D15"/>
      <c r="E15"/>
      <c r="F15"/>
      <c r="G15"/>
      <c r="H15"/>
      <c r="I15"/>
      <c r="J15"/>
    </row>
    <row r="16" spans="1:21" s="14" customFormat="1" ht="30" customHeight="1" x14ac:dyDescent="0.25">
      <c r="B16"/>
      <c r="C16"/>
      <c r="D16"/>
      <c r="E16"/>
      <c r="F16"/>
      <c r="G16"/>
      <c r="H16"/>
      <c r="I16"/>
      <c r="J16"/>
    </row>
  </sheetData>
  <mergeCells count="13">
    <mergeCell ref="C14:J14"/>
    <mergeCell ref="B5:J5"/>
    <mergeCell ref="B6:D6"/>
    <mergeCell ref="E6:J6"/>
    <mergeCell ref="B7:D7"/>
    <mergeCell ref="E7:J7"/>
    <mergeCell ref="B8:D8"/>
    <mergeCell ref="E8:J8"/>
    <mergeCell ref="B9:J9"/>
    <mergeCell ref="C10:J10"/>
    <mergeCell ref="C11:J11"/>
    <mergeCell ref="C12:J12"/>
    <mergeCell ref="C13:J13"/>
  </mergeCells>
  <pageMargins left="0.75" right="0.75" top="1" bottom="1" header="0.49212598499999999" footer="0.49212598499999999"/>
  <pageSetup paperSize="9"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5DDE3-CB21-4F0E-B18C-961496894304}">
  <sheetPr codeName="Plan1">
    <pageSetUpPr fitToPage="1"/>
  </sheetPr>
  <dimension ref="A1:AJ27"/>
  <sheetViews>
    <sheetView showGridLines="0" zoomScale="88" zoomScaleNormal="80" workbookViewId="0">
      <pane xSplit="7" ySplit="7" topLeftCell="H8" activePane="bottomRight" state="frozen"/>
      <selection activeCell="F20" sqref="F20"/>
      <selection pane="topRight" activeCell="F20" sqref="F20"/>
      <selection pane="bottomLeft" activeCell="F20" sqref="F20"/>
      <selection pane="bottomRight" activeCell="I11" sqref="I11"/>
    </sheetView>
  </sheetViews>
  <sheetFormatPr defaultColWidth="9.109375" defaultRowHeight="10.199999999999999" x14ac:dyDescent="0.25"/>
  <cols>
    <col min="1" max="1" width="4.6640625" style="451" customWidth="1"/>
    <col min="2" max="2" width="11.5546875" style="451" customWidth="1"/>
    <col min="3" max="3" width="9.6640625" style="451" customWidth="1"/>
    <col min="4" max="4" width="26.33203125" style="451" customWidth="1"/>
    <col min="5" max="5" width="25.88671875" style="485" customWidth="1"/>
    <col min="6" max="6" width="17.5546875" style="451" customWidth="1"/>
    <col min="7" max="7" width="13.109375" style="452" customWidth="1"/>
    <col min="8" max="8" width="13.6640625" style="452" customWidth="1"/>
    <col min="9" max="9" width="28.88671875" style="453" customWidth="1"/>
    <col min="10" max="10" width="27.6640625" style="453" customWidth="1"/>
    <col min="11" max="11" width="17.44140625" style="451" hidden="1" customWidth="1"/>
    <col min="12" max="12" width="15.6640625" style="451" customWidth="1"/>
    <col min="13" max="15" width="9.109375" style="451"/>
    <col min="16" max="16" width="8.88671875" style="451" customWidth="1"/>
    <col min="17" max="17" width="10" style="451" customWidth="1"/>
    <col min="18" max="18" width="14.33203125" style="451" customWidth="1"/>
    <col min="19" max="256" width="9.109375" style="451"/>
    <col min="257" max="257" width="4.6640625" style="451" customWidth="1"/>
    <col min="258" max="258" width="11.5546875" style="451" customWidth="1"/>
    <col min="259" max="259" width="9.6640625" style="451" customWidth="1"/>
    <col min="260" max="260" width="26.33203125" style="451" customWidth="1"/>
    <col min="261" max="261" width="25.88671875" style="451" customWidth="1"/>
    <col min="262" max="262" width="17.5546875" style="451" customWidth="1"/>
    <col min="263" max="263" width="13.109375" style="451" customWidth="1"/>
    <col min="264" max="264" width="13.6640625" style="451" customWidth="1"/>
    <col min="265" max="265" width="28.88671875" style="451" customWidth="1"/>
    <col min="266" max="266" width="27.6640625" style="451" customWidth="1"/>
    <col min="267" max="267" width="0" style="451" hidden="1" customWidth="1"/>
    <col min="268" max="268" width="15.6640625" style="451" customWidth="1"/>
    <col min="269" max="271" width="9.109375" style="451"/>
    <col min="272" max="272" width="8.88671875" style="451" customWidth="1"/>
    <col min="273" max="273" width="10" style="451" customWidth="1"/>
    <col min="274" max="274" width="14.33203125" style="451" customWidth="1"/>
    <col min="275" max="512" width="9.109375" style="451"/>
    <col min="513" max="513" width="4.6640625" style="451" customWidth="1"/>
    <col min="514" max="514" width="11.5546875" style="451" customWidth="1"/>
    <col min="515" max="515" width="9.6640625" style="451" customWidth="1"/>
    <col min="516" max="516" width="26.33203125" style="451" customWidth="1"/>
    <col min="517" max="517" width="25.88671875" style="451" customWidth="1"/>
    <col min="518" max="518" width="17.5546875" style="451" customWidth="1"/>
    <col min="519" max="519" width="13.109375" style="451" customWidth="1"/>
    <col min="520" max="520" width="13.6640625" style="451" customWidth="1"/>
    <col min="521" max="521" width="28.88671875" style="451" customWidth="1"/>
    <col min="522" max="522" width="27.6640625" style="451" customWidth="1"/>
    <col min="523" max="523" width="0" style="451" hidden="1" customWidth="1"/>
    <col min="524" max="524" width="15.6640625" style="451" customWidth="1"/>
    <col min="525" max="527" width="9.109375" style="451"/>
    <col min="528" max="528" width="8.88671875" style="451" customWidth="1"/>
    <col min="529" max="529" width="10" style="451" customWidth="1"/>
    <col min="530" max="530" width="14.33203125" style="451" customWidth="1"/>
    <col min="531" max="768" width="9.109375" style="451"/>
    <col min="769" max="769" width="4.6640625" style="451" customWidth="1"/>
    <col min="770" max="770" width="11.5546875" style="451" customWidth="1"/>
    <col min="771" max="771" width="9.6640625" style="451" customWidth="1"/>
    <col min="772" max="772" width="26.33203125" style="451" customWidth="1"/>
    <col min="773" max="773" width="25.88671875" style="451" customWidth="1"/>
    <col min="774" max="774" width="17.5546875" style="451" customWidth="1"/>
    <col min="775" max="775" width="13.109375" style="451" customWidth="1"/>
    <col min="776" max="776" width="13.6640625" style="451" customWidth="1"/>
    <col min="777" max="777" width="28.88671875" style="451" customWidth="1"/>
    <col min="778" max="778" width="27.6640625" style="451" customWidth="1"/>
    <col min="779" max="779" width="0" style="451" hidden="1" customWidth="1"/>
    <col min="780" max="780" width="15.6640625" style="451" customWidth="1"/>
    <col min="781" max="783" width="9.109375" style="451"/>
    <col min="784" max="784" width="8.88671875" style="451" customWidth="1"/>
    <col min="785" max="785" width="10" style="451" customWidth="1"/>
    <col min="786" max="786" width="14.33203125" style="451" customWidth="1"/>
    <col min="787" max="1024" width="9.109375" style="451"/>
    <col min="1025" max="1025" width="4.6640625" style="451" customWidth="1"/>
    <col min="1026" max="1026" width="11.5546875" style="451" customWidth="1"/>
    <col min="1027" max="1027" width="9.6640625" style="451" customWidth="1"/>
    <col min="1028" max="1028" width="26.33203125" style="451" customWidth="1"/>
    <col min="1029" max="1029" width="25.88671875" style="451" customWidth="1"/>
    <col min="1030" max="1030" width="17.5546875" style="451" customWidth="1"/>
    <col min="1031" max="1031" width="13.109375" style="451" customWidth="1"/>
    <col min="1032" max="1032" width="13.6640625" style="451" customWidth="1"/>
    <col min="1033" max="1033" width="28.88671875" style="451" customWidth="1"/>
    <col min="1034" max="1034" width="27.6640625" style="451" customWidth="1"/>
    <col min="1035" max="1035" width="0" style="451" hidden="1" customWidth="1"/>
    <col min="1036" max="1036" width="15.6640625" style="451" customWidth="1"/>
    <col min="1037" max="1039" width="9.109375" style="451"/>
    <col min="1040" max="1040" width="8.88671875" style="451" customWidth="1"/>
    <col min="1041" max="1041" width="10" style="451" customWidth="1"/>
    <col min="1042" max="1042" width="14.33203125" style="451" customWidth="1"/>
    <col min="1043" max="1280" width="9.109375" style="451"/>
    <col min="1281" max="1281" width="4.6640625" style="451" customWidth="1"/>
    <col min="1282" max="1282" width="11.5546875" style="451" customWidth="1"/>
    <col min="1283" max="1283" width="9.6640625" style="451" customWidth="1"/>
    <col min="1284" max="1284" width="26.33203125" style="451" customWidth="1"/>
    <col min="1285" max="1285" width="25.88671875" style="451" customWidth="1"/>
    <col min="1286" max="1286" width="17.5546875" style="451" customWidth="1"/>
    <col min="1287" max="1287" width="13.109375" style="451" customWidth="1"/>
    <col min="1288" max="1288" width="13.6640625" style="451" customWidth="1"/>
    <col min="1289" max="1289" width="28.88671875" style="451" customWidth="1"/>
    <col min="1290" max="1290" width="27.6640625" style="451" customWidth="1"/>
    <col min="1291" max="1291" width="0" style="451" hidden="1" customWidth="1"/>
    <col min="1292" max="1292" width="15.6640625" style="451" customWidth="1"/>
    <col min="1293" max="1295" width="9.109375" style="451"/>
    <col min="1296" max="1296" width="8.88671875" style="451" customWidth="1"/>
    <col min="1297" max="1297" width="10" style="451" customWidth="1"/>
    <col min="1298" max="1298" width="14.33203125" style="451" customWidth="1"/>
    <col min="1299" max="1536" width="9.109375" style="451"/>
    <col min="1537" max="1537" width="4.6640625" style="451" customWidth="1"/>
    <col min="1538" max="1538" width="11.5546875" style="451" customWidth="1"/>
    <col min="1539" max="1539" width="9.6640625" style="451" customWidth="1"/>
    <col min="1540" max="1540" width="26.33203125" style="451" customWidth="1"/>
    <col min="1541" max="1541" width="25.88671875" style="451" customWidth="1"/>
    <col min="1542" max="1542" width="17.5546875" style="451" customWidth="1"/>
    <col min="1543" max="1543" width="13.109375" style="451" customWidth="1"/>
    <col min="1544" max="1544" width="13.6640625" style="451" customWidth="1"/>
    <col min="1545" max="1545" width="28.88671875" style="451" customWidth="1"/>
    <col min="1546" max="1546" width="27.6640625" style="451" customWidth="1"/>
    <col min="1547" max="1547" width="0" style="451" hidden="1" customWidth="1"/>
    <col min="1548" max="1548" width="15.6640625" style="451" customWidth="1"/>
    <col min="1549" max="1551" width="9.109375" style="451"/>
    <col min="1552" max="1552" width="8.88671875" style="451" customWidth="1"/>
    <col min="1553" max="1553" width="10" style="451" customWidth="1"/>
    <col min="1554" max="1554" width="14.33203125" style="451" customWidth="1"/>
    <col min="1555" max="1792" width="9.109375" style="451"/>
    <col min="1793" max="1793" width="4.6640625" style="451" customWidth="1"/>
    <col min="1794" max="1794" width="11.5546875" style="451" customWidth="1"/>
    <col min="1795" max="1795" width="9.6640625" style="451" customWidth="1"/>
    <col min="1796" max="1796" width="26.33203125" style="451" customWidth="1"/>
    <col min="1797" max="1797" width="25.88671875" style="451" customWidth="1"/>
    <col min="1798" max="1798" width="17.5546875" style="451" customWidth="1"/>
    <col min="1799" max="1799" width="13.109375" style="451" customWidth="1"/>
    <col min="1800" max="1800" width="13.6640625" style="451" customWidth="1"/>
    <col min="1801" max="1801" width="28.88671875" style="451" customWidth="1"/>
    <col min="1802" max="1802" width="27.6640625" style="451" customWidth="1"/>
    <col min="1803" max="1803" width="0" style="451" hidden="1" customWidth="1"/>
    <col min="1804" max="1804" width="15.6640625" style="451" customWidth="1"/>
    <col min="1805" max="1807" width="9.109375" style="451"/>
    <col min="1808" max="1808" width="8.88671875" style="451" customWidth="1"/>
    <col min="1809" max="1809" width="10" style="451" customWidth="1"/>
    <col min="1810" max="1810" width="14.33203125" style="451" customWidth="1"/>
    <col min="1811" max="2048" width="9.109375" style="451"/>
    <col min="2049" max="2049" width="4.6640625" style="451" customWidth="1"/>
    <col min="2050" max="2050" width="11.5546875" style="451" customWidth="1"/>
    <col min="2051" max="2051" width="9.6640625" style="451" customWidth="1"/>
    <col min="2052" max="2052" width="26.33203125" style="451" customWidth="1"/>
    <col min="2053" max="2053" width="25.88671875" style="451" customWidth="1"/>
    <col min="2054" max="2054" width="17.5546875" style="451" customWidth="1"/>
    <col min="2055" max="2055" width="13.109375" style="451" customWidth="1"/>
    <col min="2056" max="2056" width="13.6640625" style="451" customWidth="1"/>
    <col min="2057" max="2057" width="28.88671875" style="451" customWidth="1"/>
    <col min="2058" max="2058" width="27.6640625" style="451" customWidth="1"/>
    <col min="2059" max="2059" width="0" style="451" hidden="1" customWidth="1"/>
    <col min="2060" max="2060" width="15.6640625" style="451" customWidth="1"/>
    <col min="2061" max="2063" width="9.109375" style="451"/>
    <col min="2064" max="2064" width="8.88671875" style="451" customWidth="1"/>
    <col min="2065" max="2065" width="10" style="451" customWidth="1"/>
    <col min="2066" max="2066" width="14.33203125" style="451" customWidth="1"/>
    <col min="2067" max="2304" width="9.109375" style="451"/>
    <col min="2305" max="2305" width="4.6640625" style="451" customWidth="1"/>
    <col min="2306" max="2306" width="11.5546875" style="451" customWidth="1"/>
    <col min="2307" max="2307" width="9.6640625" style="451" customWidth="1"/>
    <col min="2308" max="2308" width="26.33203125" style="451" customWidth="1"/>
    <col min="2309" max="2309" width="25.88671875" style="451" customWidth="1"/>
    <col min="2310" max="2310" width="17.5546875" style="451" customWidth="1"/>
    <col min="2311" max="2311" width="13.109375" style="451" customWidth="1"/>
    <col min="2312" max="2312" width="13.6640625" style="451" customWidth="1"/>
    <col min="2313" max="2313" width="28.88671875" style="451" customWidth="1"/>
    <col min="2314" max="2314" width="27.6640625" style="451" customWidth="1"/>
    <col min="2315" max="2315" width="0" style="451" hidden="1" customWidth="1"/>
    <col min="2316" max="2316" width="15.6640625" style="451" customWidth="1"/>
    <col min="2317" max="2319" width="9.109375" style="451"/>
    <col min="2320" max="2320" width="8.88671875" style="451" customWidth="1"/>
    <col min="2321" max="2321" width="10" style="451" customWidth="1"/>
    <col min="2322" max="2322" width="14.33203125" style="451" customWidth="1"/>
    <col min="2323" max="2560" width="9.109375" style="451"/>
    <col min="2561" max="2561" width="4.6640625" style="451" customWidth="1"/>
    <col min="2562" max="2562" width="11.5546875" style="451" customWidth="1"/>
    <col min="2563" max="2563" width="9.6640625" style="451" customWidth="1"/>
    <col min="2564" max="2564" width="26.33203125" style="451" customWidth="1"/>
    <col min="2565" max="2565" width="25.88671875" style="451" customWidth="1"/>
    <col min="2566" max="2566" width="17.5546875" style="451" customWidth="1"/>
    <col min="2567" max="2567" width="13.109375" style="451" customWidth="1"/>
    <col min="2568" max="2568" width="13.6640625" style="451" customWidth="1"/>
    <col min="2569" max="2569" width="28.88671875" style="451" customWidth="1"/>
    <col min="2570" max="2570" width="27.6640625" style="451" customWidth="1"/>
    <col min="2571" max="2571" width="0" style="451" hidden="1" customWidth="1"/>
    <col min="2572" max="2572" width="15.6640625" style="451" customWidth="1"/>
    <col min="2573" max="2575" width="9.109375" style="451"/>
    <col min="2576" max="2576" width="8.88671875" style="451" customWidth="1"/>
    <col min="2577" max="2577" width="10" style="451" customWidth="1"/>
    <col min="2578" max="2578" width="14.33203125" style="451" customWidth="1"/>
    <col min="2579" max="2816" width="9.109375" style="451"/>
    <col min="2817" max="2817" width="4.6640625" style="451" customWidth="1"/>
    <col min="2818" max="2818" width="11.5546875" style="451" customWidth="1"/>
    <col min="2819" max="2819" width="9.6640625" style="451" customWidth="1"/>
    <col min="2820" max="2820" width="26.33203125" style="451" customWidth="1"/>
    <col min="2821" max="2821" width="25.88671875" style="451" customWidth="1"/>
    <col min="2822" max="2822" width="17.5546875" style="451" customWidth="1"/>
    <col min="2823" max="2823" width="13.109375" style="451" customWidth="1"/>
    <col min="2824" max="2824" width="13.6640625" style="451" customWidth="1"/>
    <col min="2825" max="2825" width="28.88671875" style="451" customWidth="1"/>
    <col min="2826" max="2826" width="27.6640625" style="451" customWidth="1"/>
    <col min="2827" max="2827" width="0" style="451" hidden="1" customWidth="1"/>
    <col min="2828" max="2828" width="15.6640625" style="451" customWidth="1"/>
    <col min="2829" max="2831" width="9.109375" style="451"/>
    <col min="2832" max="2832" width="8.88671875" style="451" customWidth="1"/>
    <col min="2833" max="2833" width="10" style="451" customWidth="1"/>
    <col min="2834" max="2834" width="14.33203125" style="451" customWidth="1"/>
    <col min="2835" max="3072" width="9.109375" style="451"/>
    <col min="3073" max="3073" width="4.6640625" style="451" customWidth="1"/>
    <col min="3074" max="3074" width="11.5546875" style="451" customWidth="1"/>
    <col min="3075" max="3075" width="9.6640625" style="451" customWidth="1"/>
    <col min="3076" max="3076" width="26.33203125" style="451" customWidth="1"/>
    <col min="3077" max="3077" width="25.88671875" style="451" customWidth="1"/>
    <col min="3078" max="3078" width="17.5546875" style="451" customWidth="1"/>
    <col min="3079" max="3079" width="13.109375" style="451" customWidth="1"/>
    <col min="3080" max="3080" width="13.6640625" style="451" customWidth="1"/>
    <col min="3081" max="3081" width="28.88671875" style="451" customWidth="1"/>
    <col min="3082" max="3082" width="27.6640625" style="451" customWidth="1"/>
    <col min="3083" max="3083" width="0" style="451" hidden="1" customWidth="1"/>
    <col min="3084" max="3084" width="15.6640625" style="451" customWidth="1"/>
    <col min="3085" max="3087" width="9.109375" style="451"/>
    <col min="3088" max="3088" width="8.88671875" style="451" customWidth="1"/>
    <col min="3089" max="3089" width="10" style="451" customWidth="1"/>
    <col min="3090" max="3090" width="14.33203125" style="451" customWidth="1"/>
    <col min="3091" max="3328" width="9.109375" style="451"/>
    <col min="3329" max="3329" width="4.6640625" style="451" customWidth="1"/>
    <col min="3330" max="3330" width="11.5546875" style="451" customWidth="1"/>
    <col min="3331" max="3331" width="9.6640625" style="451" customWidth="1"/>
    <col min="3332" max="3332" width="26.33203125" style="451" customWidth="1"/>
    <col min="3333" max="3333" width="25.88671875" style="451" customWidth="1"/>
    <col min="3334" max="3334" width="17.5546875" style="451" customWidth="1"/>
    <col min="3335" max="3335" width="13.109375" style="451" customWidth="1"/>
    <col min="3336" max="3336" width="13.6640625" style="451" customWidth="1"/>
    <col min="3337" max="3337" width="28.88671875" style="451" customWidth="1"/>
    <col min="3338" max="3338" width="27.6640625" style="451" customWidth="1"/>
    <col min="3339" max="3339" width="0" style="451" hidden="1" customWidth="1"/>
    <col min="3340" max="3340" width="15.6640625" style="451" customWidth="1"/>
    <col min="3341" max="3343" width="9.109375" style="451"/>
    <col min="3344" max="3344" width="8.88671875" style="451" customWidth="1"/>
    <col min="3345" max="3345" width="10" style="451" customWidth="1"/>
    <col min="3346" max="3346" width="14.33203125" style="451" customWidth="1"/>
    <col min="3347" max="3584" width="9.109375" style="451"/>
    <col min="3585" max="3585" width="4.6640625" style="451" customWidth="1"/>
    <col min="3586" max="3586" width="11.5546875" style="451" customWidth="1"/>
    <col min="3587" max="3587" width="9.6640625" style="451" customWidth="1"/>
    <col min="3588" max="3588" width="26.33203125" style="451" customWidth="1"/>
    <col min="3589" max="3589" width="25.88671875" style="451" customWidth="1"/>
    <col min="3590" max="3590" width="17.5546875" style="451" customWidth="1"/>
    <col min="3591" max="3591" width="13.109375" style="451" customWidth="1"/>
    <col min="3592" max="3592" width="13.6640625" style="451" customWidth="1"/>
    <col min="3593" max="3593" width="28.88671875" style="451" customWidth="1"/>
    <col min="3594" max="3594" width="27.6640625" style="451" customWidth="1"/>
    <col min="3595" max="3595" width="0" style="451" hidden="1" customWidth="1"/>
    <col min="3596" max="3596" width="15.6640625" style="451" customWidth="1"/>
    <col min="3597" max="3599" width="9.109375" style="451"/>
    <col min="3600" max="3600" width="8.88671875" style="451" customWidth="1"/>
    <col min="3601" max="3601" width="10" style="451" customWidth="1"/>
    <col min="3602" max="3602" width="14.33203125" style="451" customWidth="1"/>
    <col min="3603" max="3840" width="9.109375" style="451"/>
    <col min="3841" max="3841" width="4.6640625" style="451" customWidth="1"/>
    <col min="3842" max="3842" width="11.5546875" style="451" customWidth="1"/>
    <col min="3843" max="3843" width="9.6640625" style="451" customWidth="1"/>
    <col min="3844" max="3844" width="26.33203125" style="451" customWidth="1"/>
    <col min="3845" max="3845" width="25.88671875" style="451" customWidth="1"/>
    <col min="3846" max="3846" width="17.5546875" style="451" customWidth="1"/>
    <col min="3847" max="3847" width="13.109375" style="451" customWidth="1"/>
    <col min="3848" max="3848" width="13.6640625" style="451" customWidth="1"/>
    <col min="3849" max="3849" width="28.88671875" style="451" customWidth="1"/>
    <col min="3850" max="3850" width="27.6640625" style="451" customWidth="1"/>
    <col min="3851" max="3851" width="0" style="451" hidden="1" customWidth="1"/>
    <col min="3852" max="3852" width="15.6640625" style="451" customWidth="1"/>
    <col min="3853" max="3855" width="9.109375" style="451"/>
    <col min="3856" max="3856" width="8.88671875" style="451" customWidth="1"/>
    <col min="3857" max="3857" width="10" style="451" customWidth="1"/>
    <col min="3858" max="3858" width="14.33203125" style="451" customWidth="1"/>
    <col min="3859" max="4096" width="9.109375" style="451"/>
    <col min="4097" max="4097" width="4.6640625" style="451" customWidth="1"/>
    <col min="4098" max="4098" width="11.5546875" style="451" customWidth="1"/>
    <col min="4099" max="4099" width="9.6640625" style="451" customWidth="1"/>
    <col min="4100" max="4100" width="26.33203125" style="451" customWidth="1"/>
    <col min="4101" max="4101" width="25.88671875" style="451" customWidth="1"/>
    <col min="4102" max="4102" width="17.5546875" style="451" customWidth="1"/>
    <col min="4103" max="4103" width="13.109375" style="451" customWidth="1"/>
    <col min="4104" max="4104" width="13.6640625" style="451" customWidth="1"/>
    <col min="4105" max="4105" width="28.88671875" style="451" customWidth="1"/>
    <col min="4106" max="4106" width="27.6640625" style="451" customWidth="1"/>
    <col min="4107" max="4107" width="0" style="451" hidden="1" customWidth="1"/>
    <col min="4108" max="4108" width="15.6640625" style="451" customWidth="1"/>
    <col min="4109" max="4111" width="9.109375" style="451"/>
    <col min="4112" max="4112" width="8.88671875" style="451" customWidth="1"/>
    <col min="4113" max="4113" width="10" style="451" customWidth="1"/>
    <col min="4114" max="4114" width="14.33203125" style="451" customWidth="1"/>
    <col min="4115" max="4352" width="9.109375" style="451"/>
    <col min="4353" max="4353" width="4.6640625" style="451" customWidth="1"/>
    <col min="4354" max="4354" width="11.5546875" style="451" customWidth="1"/>
    <col min="4355" max="4355" width="9.6640625" style="451" customWidth="1"/>
    <col min="4356" max="4356" width="26.33203125" style="451" customWidth="1"/>
    <col min="4357" max="4357" width="25.88671875" style="451" customWidth="1"/>
    <col min="4358" max="4358" width="17.5546875" style="451" customWidth="1"/>
    <col min="4359" max="4359" width="13.109375" style="451" customWidth="1"/>
    <col min="4360" max="4360" width="13.6640625" style="451" customWidth="1"/>
    <col min="4361" max="4361" width="28.88671875" style="451" customWidth="1"/>
    <col min="4362" max="4362" width="27.6640625" style="451" customWidth="1"/>
    <col min="4363" max="4363" width="0" style="451" hidden="1" customWidth="1"/>
    <col min="4364" max="4364" width="15.6640625" style="451" customWidth="1"/>
    <col min="4365" max="4367" width="9.109375" style="451"/>
    <col min="4368" max="4368" width="8.88671875" style="451" customWidth="1"/>
    <col min="4369" max="4369" width="10" style="451" customWidth="1"/>
    <col min="4370" max="4370" width="14.33203125" style="451" customWidth="1"/>
    <col min="4371" max="4608" width="9.109375" style="451"/>
    <col min="4609" max="4609" width="4.6640625" style="451" customWidth="1"/>
    <col min="4610" max="4610" width="11.5546875" style="451" customWidth="1"/>
    <col min="4611" max="4611" width="9.6640625" style="451" customWidth="1"/>
    <col min="4612" max="4612" width="26.33203125" style="451" customWidth="1"/>
    <col min="4613" max="4613" width="25.88671875" style="451" customWidth="1"/>
    <col min="4614" max="4614" width="17.5546875" style="451" customWidth="1"/>
    <col min="4615" max="4615" width="13.109375" style="451" customWidth="1"/>
    <col min="4616" max="4616" width="13.6640625" style="451" customWidth="1"/>
    <col min="4617" max="4617" width="28.88671875" style="451" customWidth="1"/>
    <col min="4618" max="4618" width="27.6640625" style="451" customWidth="1"/>
    <col min="4619" max="4619" width="0" style="451" hidden="1" customWidth="1"/>
    <col min="4620" max="4620" width="15.6640625" style="451" customWidth="1"/>
    <col min="4621" max="4623" width="9.109375" style="451"/>
    <col min="4624" max="4624" width="8.88671875" style="451" customWidth="1"/>
    <col min="4625" max="4625" width="10" style="451" customWidth="1"/>
    <col min="4626" max="4626" width="14.33203125" style="451" customWidth="1"/>
    <col min="4627" max="4864" width="9.109375" style="451"/>
    <col min="4865" max="4865" width="4.6640625" style="451" customWidth="1"/>
    <col min="4866" max="4866" width="11.5546875" style="451" customWidth="1"/>
    <col min="4867" max="4867" width="9.6640625" style="451" customWidth="1"/>
    <col min="4868" max="4868" width="26.33203125" style="451" customWidth="1"/>
    <col min="4869" max="4869" width="25.88671875" style="451" customWidth="1"/>
    <col min="4870" max="4870" width="17.5546875" style="451" customWidth="1"/>
    <col min="4871" max="4871" width="13.109375" style="451" customWidth="1"/>
    <col min="4872" max="4872" width="13.6640625" style="451" customWidth="1"/>
    <col min="4873" max="4873" width="28.88671875" style="451" customWidth="1"/>
    <col min="4874" max="4874" width="27.6640625" style="451" customWidth="1"/>
    <col min="4875" max="4875" width="0" style="451" hidden="1" customWidth="1"/>
    <col min="4876" max="4876" width="15.6640625" style="451" customWidth="1"/>
    <col min="4877" max="4879" width="9.109375" style="451"/>
    <col min="4880" max="4880" width="8.88671875" style="451" customWidth="1"/>
    <col min="4881" max="4881" width="10" style="451" customWidth="1"/>
    <col min="4882" max="4882" width="14.33203125" style="451" customWidth="1"/>
    <col min="4883" max="5120" width="9.109375" style="451"/>
    <col min="5121" max="5121" width="4.6640625" style="451" customWidth="1"/>
    <col min="5122" max="5122" width="11.5546875" style="451" customWidth="1"/>
    <col min="5123" max="5123" width="9.6640625" style="451" customWidth="1"/>
    <col min="5124" max="5124" width="26.33203125" style="451" customWidth="1"/>
    <col min="5125" max="5125" width="25.88671875" style="451" customWidth="1"/>
    <col min="5126" max="5126" width="17.5546875" style="451" customWidth="1"/>
    <col min="5127" max="5127" width="13.109375" style="451" customWidth="1"/>
    <col min="5128" max="5128" width="13.6640625" style="451" customWidth="1"/>
    <col min="5129" max="5129" width="28.88671875" style="451" customWidth="1"/>
    <col min="5130" max="5130" width="27.6640625" style="451" customWidth="1"/>
    <col min="5131" max="5131" width="0" style="451" hidden="1" customWidth="1"/>
    <col min="5132" max="5132" width="15.6640625" style="451" customWidth="1"/>
    <col min="5133" max="5135" width="9.109375" style="451"/>
    <col min="5136" max="5136" width="8.88671875" style="451" customWidth="1"/>
    <col min="5137" max="5137" width="10" style="451" customWidth="1"/>
    <col min="5138" max="5138" width="14.33203125" style="451" customWidth="1"/>
    <col min="5139" max="5376" width="9.109375" style="451"/>
    <col min="5377" max="5377" width="4.6640625" style="451" customWidth="1"/>
    <col min="5378" max="5378" width="11.5546875" style="451" customWidth="1"/>
    <col min="5379" max="5379" width="9.6640625" style="451" customWidth="1"/>
    <col min="5380" max="5380" width="26.33203125" style="451" customWidth="1"/>
    <col min="5381" max="5381" width="25.88671875" style="451" customWidth="1"/>
    <col min="5382" max="5382" width="17.5546875" style="451" customWidth="1"/>
    <col min="5383" max="5383" width="13.109375" style="451" customWidth="1"/>
    <col min="5384" max="5384" width="13.6640625" style="451" customWidth="1"/>
    <col min="5385" max="5385" width="28.88671875" style="451" customWidth="1"/>
    <col min="5386" max="5386" width="27.6640625" style="451" customWidth="1"/>
    <col min="5387" max="5387" width="0" style="451" hidden="1" customWidth="1"/>
    <col min="5388" max="5388" width="15.6640625" style="451" customWidth="1"/>
    <col min="5389" max="5391" width="9.109375" style="451"/>
    <col min="5392" max="5392" width="8.88671875" style="451" customWidth="1"/>
    <col min="5393" max="5393" width="10" style="451" customWidth="1"/>
    <col min="5394" max="5394" width="14.33203125" style="451" customWidth="1"/>
    <col min="5395" max="5632" width="9.109375" style="451"/>
    <col min="5633" max="5633" width="4.6640625" style="451" customWidth="1"/>
    <col min="5634" max="5634" width="11.5546875" style="451" customWidth="1"/>
    <col min="5635" max="5635" width="9.6640625" style="451" customWidth="1"/>
    <col min="5636" max="5636" width="26.33203125" style="451" customWidth="1"/>
    <col min="5637" max="5637" width="25.88671875" style="451" customWidth="1"/>
    <col min="5638" max="5638" width="17.5546875" style="451" customWidth="1"/>
    <col min="5639" max="5639" width="13.109375" style="451" customWidth="1"/>
    <col min="5640" max="5640" width="13.6640625" style="451" customWidth="1"/>
    <col min="5641" max="5641" width="28.88671875" style="451" customWidth="1"/>
    <col min="5642" max="5642" width="27.6640625" style="451" customWidth="1"/>
    <col min="5643" max="5643" width="0" style="451" hidden="1" customWidth="1"/>
    <col min="5644" max="5644" width="15.6640625" style="451" customWidth="1"/>
    <col min="5645" max="5647" width="9.109375" style="451"/>
    <col min="5648" max="5648" width="8.88671875" style="451" customWidth="1"/>
    <col min="5649" max="5649" width="10" style="451" customWidth="1"/>
    <col min="5650" max="5650" width="14.33203125" style="451" customWidth="1"/>
    <col min="5651" max="5888" width="9.109375" style="451"/>
    <col min="5889" max="5889" width="4.6640625" style="451" customWidth="1"/>
    <col min="5890" max="5890" width="11.5546875" style="451" customWidth="1"/>
    <col min="5891" max="5891" width="9.6640625" style="451" customWidth="1"/>
    <col min="5892" max="5892" width="26.33203125" style="451" customWidth="1"/>
    <col min="5893" max="5893" width="25.88671875" style="451" customWidth="1"/>
    <col min="5894" max="5894" width="17.5546875" style="451" customWidth="1"/>
    <col min="5895" max="5895" width="13.109375" style="451" customWidth="1"/>
    <col min="5896" max="5896" width="13.6640625" style="451" customWidth="1"/>
    <col min="5897" max="5897" width="28.88671875" style="451" customWidth="1"/>
    <col min="5898" max="5898" width="27.6640625" style="451" customWidth="1"/>
    <col min="5899" max="5899" width="0" style="451" hidden="1" customWidth="1"/>
    <col min="5900" max="5900" width="15.6640625" style="451" customWidth="1"/>
    <col min="5901" max="5903" width="9.109375" style="451"/>
    <col min="5904" max="5904" width="8.88671875" style="451" customWidth="1"/>
    <col min="5905" max="5905" width="10" style="451" customWidth="1"/>
    <col min="5906" max="5906" width="14.33203125" style="451" customWidth="1"/>
    <col min="5907" max="6144" width="9.109375" style="451"/>
    <col min="6145" max="6145" width="4.6640625" style="451" customWidth="1"/>
    <col min="6146" max="6146" width="11.5546875" style="451" customWidth="1"/>
    <col min="6147" max="6147" width="9.6640625" style="451" customWidth="1"/>
    <col min="6148" max="6148" width="26.33203125" style="451" customWidth="1"/>
    <col min="6149" max="6149" width="25.88671875" style="451" customWidth="1"/>
    <col min="6150" max="6150" width="17.5546875" style="451" customWidth="1"/>
    <col min="6151" max="6151" width="13.109375" style="451" customWidth="1"/>
    <col min="6152" max="6152" width="13.6640625" style="451" customWidth="1"/>
    <col min="6153" max="6153" width="28.88671875" style="451" customWidth="1"/>
    <col min="6154" max="6154" width="27.6640625" style="451" customWidth="1"/>
    <col min="6155" max="6155" width="0" style="451" hidden="1" customWidth="1"/>
    <col min="6156" max="6156" width="15.6640625" style="451" customWidth="1"/>
    <col min="6157" max="6159" width="9.109375" style="451"/>
    <col min="6160" max="6160" width="8.88671875" style="451" customWidth="1"/>
    <col min="6161" max="6161" width="10" style="451" customWidth="1"/>
    <col min="6162" max="6162" width="14.33203125" style="451" customWidth="1"/>
    <col min="6163" max="6400" width="9.109375" style="451"/>
    <col min="6401" max="6401" width="4.6640625" style="451" customWidth="1"/>
    <col min="6402" max="6402" width="11.5546875" style="451" customWidth="1"/>
    <col min="6403" max="6403" width="9.6640625" style="451" customWidth="1"/>
    <col min="6404" max="6404" width="26.33203125" style="451" customWidth="1"/>
    <col min="6405" max="6405" width="25.88671875" style="451" customWidth="1"/>
    <col min="6406" max="6406" width="17.5546875" style="451" customWidth="1"/>
    <col min="6407" max="6407" width="13.109375" style="451" customWidth="1"/>
    <col min="6408" max="6408" width="13.6640625" style="451" customWidth="1"/>
    <col min="6409" max="6409" width="28.88671875" style="451" customWidth="1"/>
    <col min="6410" max="6410" width="27.6640625" style="451" customWidth="1"/>
    <col min="6411" max="6411" width="0" style="451" hidden="1" customWidth="1"/>
    <col min="6412" max="6412" width="15.6640625" style="451" customWidth="1"/>
    <col min="6413" max="6415" width="9.109375" style="451"/>
    <col min="6416" max="6416" width="8.88671875" style="451" customWidth="1"/>
    <col min="6417" max="6417" width="10" style="451" customWidth="1"/>
    <col min="6418" max="6418" width="14.33203125" style="451" customWidth="1"/>
    <col min="6419" max="6656" width="9.109375" style="451"/>
    <col min="6657" max="6657" width="4.6640625" style="451" customWidth="1"/>
    <col min="6658" max="6658" width="11.5546875" style="451" customWidth="1"/>
    <col min="6659" max="6659" width="9.6640625" style="451" customWidth="1"/>
    <col min="6660" max="6660" width="26.33203125" style="451" customWidth="1"/>
    <col min="6661" max="6661" width="25.88671875" style="451" customWidth="1"/>
    <col min="6662" max="6662" width="17.5546875" style="451" customWidth="1"/>
    <col min="6663" max="6663" width="13.109375" style="451" customWidth="1"/>
    <col min="6664" max="6664" width="13.6640625" style="451" customWidth="1"/>
    <col min="6665" max="6665" width="28.88671875" style="451" customWidth="1"/>
    <col min="6666" max="6666" width="27.6640625" style="451" customWidth="1"/>
    <col min="6667" max="6667" width="0" style="451" hidden="1" customWidth="1"/>
    <col min="6668" max="6668" width="15.6640625" style="451" customWidth="1"/>
    <col min="6669" max="6671" width="9.109375" style="451"/>
    <col min="6672" max="6672" width="8.88671875" style="451" customWidth="1"/>
    <col min="6673" max="6673" width="10" style="451" customWidth="1"/>
    <col min="6674" max="6674" width="14.33203125" style="451" customWidth="1"/>
    <col min="6675" max="6912" width="9.109375" style="451"/>
    <col min="6913" max="6913" width="4.6640625" style="451" customWidth="1"/>
    <col min="6914" max="6914" width="11.5546875" style="451" customWidth="1"/>
    <col min="6915" max="6915" width="9.6640625" style="451" customWidth="1"/>
    <col min="6916" max="6916" width="26.33203125" style="451" customWidth="1"/>
    <col min="6917" max="6917" width="25.88671875" style="451" customWidth="1"/>
    <col min="6918" max="6918" width="17.5546875" style="451" customWidth="1"/>
    <col min="6919" max="6919" width="13.109375" style="451" customWidth="1"/>
    <col min="6920" max="6920" width="13.6640625" style="451" customWidth="1"/>
    <col min="6921" max="6921" width="28.88671875" style="451" customWidth="1"/>
    <col min="6922" max="6922" width="27.6640625" style="451" customWidth="1"/>
    <col min="6923" max="6923" width="0" style="451" hidden="1" customWidth="1"/>
    <col min="6924" max="6924" width="15.6640625" style="451" customWidth="1"/>
    <col min="6925" max="6927" width="9.109375" style="451"/>
    <col min="6928" max="6928" width="8.88671875" style="451" customWidth="1"/>
    <col min="6929" max="6929" width="10" style="451" customWidth="1"/>
    <col min="6930" max="6930" width="14.33203125" style="451" customWidth="1"/>
    <col min="6931" max="7168" width="9.109375" style="451"/>
    <col min="7169" max="7169" width="4.6640625" style="451" customWidth="1"/>
    <col min="7170" max="7170" width="11.5546875" style="451" customWidth="1"/>
    <col min="7171" max="7171" width="9.6640625" style="451" customWidth="1"/>
    <col min="7172" max="7172" width="26.33203125" style="451" customWidth="1"/>
    <col min="7173" max="7173" width="25.88671875" style="451" customWidth="1"/>
    <col min="7174" max="7174" width="17.5546875" style="451" customWidth="1"/>
    <col min="7175" max="7175" width="13.109375" style="451" customWidth="1"/>
    <col min="7176" max="7176" width="13.6640625" style="451" customWidth="1"/>
    <col min="7177" max="7177" width="28.88671875" style="451" customWidth="1"/>
    <col min="7178" max="7178" width="27.6640625" style="451" customWidth="1"/>
    <col min="7179" max="7179" width="0" style="451" hidden="1" customWidth="1"/>
    <col min="7180" max="7180" width="15.6640625" style="451" customWidth="1"/>
    <col min="7181" max="7183" width="9.109375" style="451"/>
    <col min="7184" max="7184" width="8.88671875" style="451" customWidth="1"/>
    <col min="7185" max="7185" width="10" style="451" customWidth="1"/>
    <col min="7186" max="7186" width="14.33203125" style="451" customWidth="1"/>
    <col min="7187" max="7424" width="9.109375" style="451"/>
    <col min="7425" max="7425" width="4.6640625" style="451" customWidth="1"/>
    <col min="7426" max="7426" width="11.5546875" style="451" customWidth="1"/>
    <col min="7427" max="7427" width="9.6640625" style="451" customWidth="1"/>
    <col min="7428" max="7428" width="26.33203125" style="451" customWidth="1"/>
    <col min="7429" max="7429" width="25.88671875" style="451" customWidth="1"/>
    <col min="7430" max="7430" width="17.5546875" style="451" customWidth="1"/>
    <col min="7431" max="7431" width="13.109375" style="451" customWidth="1"/>
    <col min="7432" max="7432" width="13.6640625" style="451" customWidth="1"/>
    <col min="7433" max="7433" width="28.88671875" style="451" customWidth="1"/>
    <col min="7434" max="7434" width="27.6640625" style="451" customWidth="1"/>
    <col min="7435" max="7435" width="0" style="451" hidden="1" customWidth="1"/>
    <col min="7436" max="7436" width="15.6640625" style="451" customWidth="1"/>
    <col min="7437" max="7439" width="9.109375" style="451"/>
    <col min="7440" max="7440" width="8.88671875" style="451" customWidth="1"/>
    <col min="7441" max="7441" width="10" style="451" customWidth="1"/>
    <col min="7442" max="7442" width="14.33203125" style="451" customWidth="1"/>
    <col min="7443" max="7680" width="9.109375" style="451"/>
    <col min="7681" max="7681" width="4.6640625" style="451" customWidth="1"/>
    <col min="7682" max="7682" width="11.5546875" style="451" customWidth="1"/>
    <col min="7683" max="7683" width="9.6640625" style="451" customWidth="1"/>
    <col min="7684" max="7684" width="26.33203125" style="451" customWidth="1"/>
    <col min="7685" max="7685" width="25.88671875" style="451" customWidth="1"/>
    <col min="7686" max="7686" width="17.5546875" style="451" customWidth="1"/>
    <col min="7687" max="7687" width="13.109375" style="451" customWidth="1"/>
    <col min="7688" max="7688" width="13.6640625" style="451" customWidth="1"/>
    <col min="7689" max="7689" width="28.88671875" style="451" customWidth="1"/>
    <col min="7690" max="7690" width="27.6640625" style="451" customWidth="1"/>
    <col min="7691" max="7691" width="0" style="451" hidden="1" customWidth="1"/>
    <col min="7692" max="7692" width="15.6640625" style="451" customWidth="1"/>
    <col min="7693" max="7695" width="9.109375" style="451"/>
    <col min="7696" max="7696" width="8.88671875" style="451" customWidth="1"/>
    <col min="7697" max="7697" width="10" style="451" customWidth="1"/>
    <col min="7698" max="7698" width="14.33203125" style="451" customWidth="1"/>
    <col min="7699" max="7936" width="9.109375" style="451"/>
    <col min="7937" max="7937" width="4.6640625" style="451" customWidth="1"/>
    <col min="7938" max="7938" width="11.5546875" style="451" customWidth="1"/>
    <col min="7939" max="7939" width="9.6640625" style="451" customWidth="1"/>
    <col min="7940" max="7940" width="26.33203125" style="451" customWidth="1"/>
    <col min="7941" max="7941" width="25.88671875" style="451" customWidth="1"/>
    <col min="7942" max="7942" width="17.5546875" style="451" customWidth="1"/>
    <col min="7943" max="7943" width="13.109375" style="451" customWidth="1"/>
    <col min="7944" max="7944" width="13.6640625" style="451" customWidth="1"/>
    <col min="7945" max="7945" width="28.88671875" style="451" customWidth="1"/>
    <col min="7946" max="7946" width="27.6640625" style="451" customWidth="1"/>
    <col min="7947" max="7947" width="0" style="451" hidden="1" customWidth="1"/>
    <col min="7948" max="7948" width="15.6640625" style="451" customWidth="1"/>
    <col min="7949" max="7951" width="9.109375" style="451"/>
    <col min="7952" max="7952" width="8.88671875" style="451" customWidth="1"/>
    <col min="7953" max="7953" width="10" style="451" customWidth="1"/>
    <col min="7954" max="7954" width="14.33203125" style="451" customWidth="1"/>
    <col min="7955" max="8192" width="9.109375" style="451"/>
    <col min="8193" max="8193" width="4.6640625" style="451" customWidth="1"/>
    <col min="8194" max="8194" width="11.5546875" style="451" customWidth="1"/>
    <col min="8195" max="8195" width="9.6640625" style="451" customWidth="1"/>
    <col min="8196" max="8196" width="26.33203125" style="451" customWidth="1"/>
    <col min="8197" max="8197" width="25.88671875" style="451" customWidth="1"/>
    <col min="8198" max="8198" width="17.5546875" style="451" customWidth="1"/>
    <col min="8199" max="8199" width="13.109375" style="451" customWidth="1"/>
    <col min="8200" max="8200" width="13.6640625" style="451" customWidth="1"/>
    <col min="8201" max="8201" width="28.88671875" style="451" customWidth="1"/>
    <col min="8202" max="8202" width="27.6640625" style="451" customWidth="1"/>
    <col min="8203" max="8203" width="0" style="451" hidden="1" customWidth="1"/>
    <col min="8204" max="8204" width="15.6640625" style="451" customWidth="1"/>
    <col min="8205" max="8207" width="9.109375" style="451"/>
    <col min="8208" max="8208" width="8.88671875" style="451" customWidth="1"/>
    <col min="8209" max="8209" width="10" style="451" customWidth="1"/>
    <col min="8210" max="8210" width="14.33203125" style="451" customWidth="1"/>
    <col min="8211" max="8448" width="9.109375" style="451"/>
    <col min="8449" max="8449" width="4.6640625" style="451" customWidth="1"/>
    <col min="8450" max="8450" width="11.5546875" style="451" customWidth="1"/>
    <col min="8451" max="8451" width="9.6640625" style="451" customWidth="1"/>
    <col min="8452" max="8452" width="26.33203125" style="451" customWidth="1"/>
    <col min="8453" max="8453" width="25.88671875" style="451" customWidth="1"/>
    <col min="8454" max="8454" width="17.5546875" style="451" customWidth="1"/>
    <col min="8455" max="8455" width="13.109375" style="451" customWidth="1"/>
    <col min="8456" max="8456" width="13.6640625" style="451" customWidth="1"/>
    <col min="8457" max="8457" width="28.88671875" style="451" customWidth="1"/>
    <col min="8458" max="8458" width="27.6640625" style="451" customWidth="1"/>
    <col min="8459" max="8459" width="0" style="451" hidden="1" customWidth="1"/>
    <col min="8460" max="8460" width="15.6640625" style="451" customWidth="1"/>
    <col min="8461" max="8463" width="9.109375" style="451"/>
    <col min="8464" max="8464" width="8.88671875" style="451" customWidth="1"/>
    <col min="8465" max="8465" width="10" style="451" customWidth="1"/>
    <col min="8466" max="8466" width="14.33203125" style="451" customWidth="1"/>
    <col min="8467" max="8704" width="9.109375" style="451"/>
    <col min="8705" max="8705" width="4.6640625" style="451" customWidth="1"/>
    <col min="8706" max="8706" width="11.5546875" style="451" customWidth="1"/>
    <col min="8707" max="8707" width="9.6640625" style="451" customWidth="1"/>
    <col min="8708" max="8708" width="26.33203125" style="451" customWidth="1"/>
    <col min="8709" max="8709" width="25.88671875" style="451" customWidth="1"/>
    <col min="8710" max="8710" width="17.5546875" style="451" customWidth="1"/>
    <col min="8711" max="8711" width="13.109375" style="451" customWidth="1"/>
    <col min="8712" max="8712" width="13.6640625" style="451" customWidth="1"/>
    <col min="8713" max="8713" width="28.88671875" style="451" customWidth="1"/>
    <col min="8714" max="8714" width="27.6640625" style="451" customWidth="1"/>
    <col min="8715" max="8715" width="0" style="451" hidden="1" customWidth="1"/>
    <col min="8716" max="8716" width="15.6640625" style="451" customWidth="1"/>
    <col min="8717" max="8719" width="9.109375" style="451"/>
    <col min="8720" max="8720" width="8.88671875" style="451" customWidth="1"/>
    <col min="8721" max="8721" width="10" style="451" customWidth="1"/>
    <col min="8722" max="8722" width="14.33203125" style="451" customWidth="1"/>
    <col min="8723" max="8960" width="9.109375" style="451"/>
    <col min="8961" max="8961" width="4.6640625" style="451" customWidth="1"/>
    <col min="8962" max="8962" width="11.5546875" style="451" customWidth="1"/>
    <col min="8963" max="8963" width="9.6640625" style="451" customWidth="1"/>
    <col min="8964" max="8964" width="26.33203125" style="451" customWidth="1"/>
    <col min="8965" max="8965" width="25.88671875" style="451" customWidth="1"/>
    <col min="8966" max="8966" width="17.5546875" style="451" customWidth="1"/>
    <col min="8967" max="8967" width="13.109375" style="451" customWidth="1"/>
    <col min="8968" max="8968" width="13.6640625" style="451" customWidth="1"/>
    <col min="8969" max="8969" width="28.88671875" style="451" customWidth="1"/>
    <col min="8970" max="8970" width="27.6640625" style="451" customWidth="1"/>
    <col min="8971" max="8971" width="0" style="451" hidden="1" customWidth="1"/>
    <col min="8972" max="8972" width="15.6640625" style="451" customWidth="1"/>
    <col min="8973" max="8975" width="9.109375" style="451"/>
    <col min="8976" max="8976" width="8.88671875" style="451" customWidth="1"/>
    <col min="8977" max="8977" width="10" style="451" customWidth="1"/>
    <col min="8978" max="8978" width="14.33203125" style="451" customWidth="1"/>
    <col min="8979" max="9216" width="9.109375" style="451"/>
    <col min="9217" max="9217" width="4.6640625" style="451" customWidth="1"/>
    <col min="9218" max="9218" width="11.5546875" style="451" customWidth="1"/>
    <col min="9219" max="9219" width="9.6640625" style="451" customWidth="1"/>
    <col min="9220" max="9220" width="26.33203125" style="451" customWidth="1"/>
    <col min="9221" max="9221" width="25.88671875" style="451" customWidth="1"/>
    <col min="9222" max="9222" width="17.5546875" style="451" customWidth="1"/>
    <col min="9223" max="9223" width="13.109375" style="451" customWidth="1"/>
    <col min="9224" max="9224" width="13.6640625" style="451" customWidth="1"/>
    <col min="9225" max="9225" width="28.88671875" style="451" customWidth="1"/>
    <col min="9226" max="9226" width="27.6640625" style="451" customWidth="1"/>
    <col min="9227" max="9227" width="0" style="451" hidden="1" customWidth="1"/>
    <col min="9228" max="9228" width="15.6640625" style="451" customWidth="1"/>
    <col min="9229" max="9231" width="9.109375" style="451"/>
    <col min="9232" max="9232" width="8.88671875" style="451" customWidth="1"/>
    <col min="9233" max="9233" width="10" style="451" customWidth="1"/>
    <col min="9234" max="9234" width="14.33203125" style="451" customWidth="1"/>
    <col min="9235" max="9472" width="9.109375" style="451"/>
    <col min="9473" max="9473" width="4.6640625" style="451" customWidth="1"/>
    <col min="9474" max="9474" width="11.5546875" style="451" customWidth="1"/>
    <col min="9475" max="9475" width="9.6640625" style="451" customWidth="1"/>
    <col min="9476" max="9476" width="26.33203125" style="451" customWidth="1"/>
    <col min="9477" max="9477" width="25.88671875" style="451" customWidth="1"/>
    <col min="9478" max="9478" width="17.5546875" style="451" customWidth="1"/>
    <col min="9479" max="9479" width="13.109375" style="451" customWidth="1"/>
    <col min="9480" max="9480" width="13.6640625" style="451" customWidth="1"/>
    <col min="9481" max="9481" width="28.88671875" style="451" customWidth="1"/>
    <col min="9482" max="9482" width="27.6640625" style="451" customWidth="1"/>
    <col min="9483" max="9483" width="0" style="451" hidden="1" customWidth="1"/>
    <col min="9484" max="9484" width="15.6640625" style="451" customWidth="1"/>
    <col min="9485" max="9487" width="9.109375" style="451"/>
    <col min="9488" max="9488" width="8.88671875" style="451" customWidth="1"/>
    <col min="9489" max="9489" width="10" style="451" customWidth="1"/>
    <col min="9490" max="9490" width="14.33203125" style="451" customWidth="1"/>
    <col min="9491" max="9728" width="9.109375" style="451"/>
    <col min="9729" max="9729" width="4.6640625" style="451" customWidth="1"/>
    <col min="9730" max="9730" width="11.5546875" style="451" customWidth="1"/>
    <col min="9731" max="9731" width="9.6640625" style="451" customWidth="1"/>
    <col min="9732" max="9732" width="26.33203125" style="451" customWidth="1"/>
    <col min="9733" max="9733" width="25.88671875" style="451" customWidth="1"/>
    <col min="9734" max="9734" width="17.5546875" style="451" customWidth="1"/>
    <col min="9735" max="9735" width="13.109375" style="451" customWidth="1"/>
    <col min="9736" max="9736" width="13.6640625" style="451" customWidth="1"/>
    <col min="9737" max="9737" width="28.88671875" style="451" customWidth="1"/>
    <col min="9738" max="9738" width="27.6640625" style="451" customWidth="1"/>
    <col min="9739" max="9739" width="0" style="451" hidden="1" customWidth="1"/>
    <col min="9740" max="9740" width="15.6640625" style="451" customWidth="1"/>
    <col min="9741" max="9743" width="9.109375" style="451"/>
    <col min="9744" max="9744" width="8.88671875" style="451" customWidth="1"/>
    <col min="9745" max="9745" width="10" style="451" customWidth="1"/>
    <col min="9746" max="9746" width="14.33203125" style="451" customWidth="1"/>
    <col min="9747" max="9984" width="9.109375" style="451"/>
    <col min="9985" max="9985" width="4.6640625" style="451" customWidth="1"/>
    <col min="9986" max="9986" width="11.5546875" style="451" customWidth="1"/>
    <col min="9987" max="9987" width="9.6640625" style="451" customWidth="1"/>
    <col min="9988" max="9988" width="26.33203125" style="451" customWidth="1"/>
    <col min="9989" max="9989" width="25.88671875" style="451" customWidth="1"/>
    <col min="9990" max="9990" width="17.5546875" style="451" customWidth="1"/>
    <col min="9991" max="9991" width="13.109375" style="451" customWidth="1"/>
    <col min="9992" max="9992" width="13.6640625" style="451" customWidth="1"/>
    <col min="9993" max="9993" width="28.88671875" style="451" customWidth="1"/>
    <col min="9994" max="9994" width="27.6640625" style="451" customWidth="1"/>
    <col min="9995" max="9995" width="0" style="451" hidden="1" customWidth="1"/>
    <col min="9996" max="9996" width="15.6640625" style="451" customWidth="1"/>
    <col min="9997" max="9999" width="9.109375" style="451"/>
    <col min="10000" max="10000" width="8.88671875" style="451" customWidth="1"/>
    <col min="10001" max="10001" width="10" style="451" customWidth="1"/>
    <col min="10002" max="10002" width="14.33203125" style="451" customWidth="1"/>
    <col min="10003" max="10240" width="9.109375" style="451"/>
    <col min="10241" max="10241" width="4.6640625" style="451" customWidth="1"/>
    <col min="10242" max="10242" width="11.5546875" style="451" customWidth="1"/>
    <col min="10243" max="10243" width="9.6640625" style="451" customWidth="1"/>
    <col min="10244" max="10244" width="26.33203125" style="451" customWidth="1"/>
    <col min="10245" max="10245" width="25.88671875" style="451" customWidth="1"/>
    <col min="10246" max="10246" width="17.5546875" style="451" customWidth="1"/>
    <col min="10247" max="10247" width="13.109375" style="451" customWidth="1"/>
    <col min="10248" max="10248" width="13.6640625" style="451" customWidth="1"/>
    <col min="10249" max="10249" width="28.88671875" style="451" customWidth="1"/>
    <col min="10250" max="10250" width="27.6640625" style="451" customWidth="1"/>
    <col min="10251" max="10251" width="0" style="451" hidden="1" customWidth="1"/>
    <col min="10252" max="10252" width="15.6640625" style="451" customWidth="1"/>
    <col min="10253" max="10255" width="9.109375" style="451"/>
    <col min="10256" max="10256" width="8.88671875" style="451" customWidth="1"/>
    <col min="10257" max="10257" width="10" style="451" customWidth="1"/>
    <col min="10258" max="10258" width="14.33203125" style="451" customWidth="1"/>
    <col min="10259" max="10496" width="9.109375" style="451"/>
    <col min="10497" max="10497" width="4.6640625" style="451" customWidth="1"/>
    <col min="10498" max="10498" width="11.5546875" style="451" customWidth="1"/>
    <col min="10499" max="10499" width="9.6640625" style="451" customWidth="1"/>
    <col min="10500" max="10500" width="26.33203125" style="451" customWidth="1"/>
    <col min="10501" max="10501" width="25.88671875" style="451" customWidth="1"/>
    <col min="10502" max="10502" width="17.5546875" style="451" customWidth="1"/>
    <col min="10503" max="10503" width="13.109375" style="451" customWidth="1"/>
    <col min="10504" max="10504" width="13.6640625" style="451" customWidth="1"/>
    <col min="10505" max="10505" width="28.88671875" style="451" customWidth="1"/>
    <col min="10506" max="10506" width="27.6640625" style="451" customWidth="1"/>
    <col min="10507" max="10507" width="0" style="451" hidden="1" customWidth="1"/>
    <col min="10508" max="10508" width="15.6640625" style="451" customWidth="1"/>
    <col min="10509" max="10511" width="9.109375" style="451"/>
    <col min="10512" max="10512" width="8.88671875" style="451" customWidth="1"/>
    <col min="10513" max="10513" width="10" style="451" customWidth="1"/>
    <col min="10514" max="10514" width="14.33203125" style="451" customWidth="1"/>
    <col min="10515" max="10752" width="9.109375" style="451"/>
    <col min="10753" max="10753" width="4.6640625" style="451" customWidth="1"/>
    <col min="10754" max="10754" width="11.5546875" style="451" customWidth="1"/>
    <col min="10755" max="10755" width="9.6640625" style="451" customWidth="1"/>
    <col min="10756" max="10756" width="26.33203125" style="451" customWidth="1"/>
    <col min="10757" max="10757" width="25.88671875" style="451" customWidth="1"/>
    <col min="10758" max="10758" width="17.5546875" style="451" customWidth="1"/>
    <col min="10759" max="10759" width="13.109375" style="451" customWidth="1"/>
    <col min="10760" max="10760" width="13.6640625" style="451" customWidth="1"/>
    <col min="10761" max="10761" width="28.88671875" style="451" customWidth="1"/>
    <col min="10762" max="10762" width="27.6640625" style="451" customWidth="1"/>
    <col min="10763" max="10763" width="0" style="451" hidden="1" customWidth="1"/>
    <col min="10764" max="10764" width="15.6640625" style="451" customWidth="1"/>
    <col min="10765" max="10767" width="9.109375" style="451"/>
    <col min="10768" max="10768" width="8.88671875" style="451" customWidth="1"/>
    <col min="10769" max="10769" width="10" style="451" customWidth="1"/>
    <col min="10770" max="10770" width="14.33203125" style="451" customWidth="1"/>
    <col min="10771" max="11008" width="9.109375" style="451"/>
    <col min="11009" max="11009" width="4.6640625" style="451" customWidth="1"/>
    <col min="11010" max="11010" width="11.5546875" style="451" customWidth="1"/>
    <col min="11011" max="11011" width="9.6640625" style="451" customWidth="1"/>
    <col min="11012" max="11012" width="26.33203125" style="451" customWidth="1"/>
    <col min="11013" max="11013" width="25.88671875" style="451" customWidth="1"/>
    <col min="11014" max="11014" width="17.5546875" style="451" customWidth="1"/>
    <col min="11015" max="11015" width="13.109375" style="451" customWidth="1"/>
    <col min="11016" max="11016" width="13.6640625" style="451" customWidth="1"/>
    <col min="11017" max="11017" width="28.88671875" style="451" customWidth="1"/>
    <col min="11018" max="11018" width="27.6640625" style="451" customWidth="1"/>
    <col min="11019" max="11019" width="0" style="451" hidden="1" customWidth="1"/>
    <col min="11020" max="11020" width="15.6640625" style="451" customWidth="1"/>
    <col min="11021" max="11023" width="9.109375" style="451"/>
    <col min="11024" max="11024" width="8.88671875" style="451" customWidth="1"/>
    <col min="11025" max="11025" width="10" style="451" customWidth="1"/>
    <col min="11026" max="11026" width="14.33203125" style="451" customWidth="1"/>
    <col min="11027" max="11264" width="9.109375" style="451"/>
    <col min="11265" max="11265" width="4.6640625" style="451" customWidth="1"/>
    <col min="11266" max="11266" width="11.5546875" style="451" customWidth="1"/>
    <col min="11267" max="11267" width="9.6640625" style="451" customWidth="1"/>
    <col min="11268" max="11268" width="26.33203125" style="451" customWidth="1"/>
    <col min="11269" max="11269" width="25.88671875" style="451" customWidth="1"/>
    <col min="11270" max="11270" width="17.5546875" style="451" customWidth="1"/>
    <col min="11271" max="11271" width="13.109375" style="451" customWidth="1"/>
    <col min="11272" max="11272" width="13.6640625" style="451" customWidth="1"/>
    <col min="11273" max="11273" width="28.88671875" style="451" customWidth="1"/>
    <col min="11274" max="11274" width="27.6640625" style="451" customWidth="1"/>
    <col min="11275" max="11275" width="0" style="451" hidden="1" customWidth="1"/>
    <col min="11276" max="11276" width="15.6640625" style="451" customWidth="1"/>
    <col min="11277" max="11279" width="9.109375" style="451"/>
    <col min="11280" max="11280" width="8.88671875" style="451" customWidth="1"/>
    <col min="11281" max="11281" width="10" style="451" customWidth="1"/>
    <col min="11282" max="11282" width="14.33203125" style="451" customWidth="1"/>
    <col min="11283" max="11520" width="9.109375" style="451"/>
    <col min="11521" max="11521" width="4.6640625" style="451" customWidth="1"/>
    <col min="11522" max="11522" width="11.5546875" style="451" customWidth="1"/>
    <col min="11523" max="11523" width="9.6640625" style="451" customWidth="1"/>
    <col min="11524" max="11524" width="26.33203125" style="451" customWidth="1"/>
    <col min="11525" max="11525" width="25.88671875" style="451" customWidth="1"/>
    <col min="11526" max="11526" width="17.5546875" style="451" customWidth="1"/>
    <col min="11527" max="11527" width="13.109375" style="451" customWidth="1"/>
    <col min="11528" max="11528" width="13.6640625" style="451" customWidth="1"/>
    <col min="11529" max="11529" width="28.88671875" style="451" customWidth="1"/>
    <col min="11530" max="11530" width="27.6640625" style="451" customWidth="1"/>
    <col min="11531" max="11531" width="0" style="451" hidden="1" customWidth="1"/>
    <col min="11532" max="11532" width="15.6640625" style="451" customWidth="1"/>
    <col min="11533" max="11535" width="9.109375" style="451"/>
    <col min="11536" max="11536" width="8.88671875" style="451" customWidth="1"/>
    <col min="11537" max="11537" width="10" style="451" customWidth="1"/>
    <col min="11538" max="11538" width="14.33203125" style="451" customWidth="1"/>
    <col min="11539" max="11776" width="9.109375" style="451"/>
    <col min="11777" max="11777" width="4.6640625" style="451" customWidth="1"/>
    <col min="11778" max="11778" width="11.5546875" style="451" customWidth="1"/>
    <col min="11779" max="11779" width="9.6640625" style="451" customWidth="1"/>
    <col min="11780" max="11780" width="26.33203125" style="451" customWidth="1"/>
    <col min="11781" max="11781" width="25.88671875" style="451" customWidth="1"/>
    <col min="11782" max="11782" width="17.5546875" style="451" customWidth="1"/>
    <col min="11783" max="11783" width="13.109375" style="451" customWidth="1"/>
    <col min="11784" max="11784" width="13.6640625" style="451" customWidth="1"/>
    <col min="11785" max="11785" width="28.88671875" style="451" customWidth="1"/>
    <col min="11786" max="11786" width="27.6640625" style="451" customWidth="1"/>
    <col min="11787" max="11787" width="0" style="451" hidden="1" customWidth="1"/>
    <col min="11788" max="11788" width="15.6640625" style="451" customWidth="1"/>
    <col min="11789" max="11791" width="9.109375" style="451"/>
    <col min="11792" max="11792" width="8.88671875" style="451" customWidth="1"/>
    <col min="11793" max="11793" width="10" style="451" customWidth="1"/>
    <col min="11794" max="11794" width="14.33203125" style="451" customWidth="1"/>
    <col min="11795" max="12032" width="9.109375" style="451"/>
    <col min="12033" max="12033" width="4.6640625" style="451" customWidth="1"/>
    <col min="12034" max="12034" width="11.5546875" style="451" customWidth="1"/>
    <col min="12035" max="12035" width="9.6640625" style="451" customWidth="1"/>
    <col min="12036" max="12036" width="26.33203125" style="451" customWidth="1"/>
    <col min="12037" max="12037" width="25.88671875" style="451" customWidth="1"/>
    <col min="12038" max="12038" width="17.5546875" style="451" customWidth="1"/>
    <col min="12039" max="12039" width="13.109375" style="451" customWidth="1"/>
    <col min="12040" max="12040" width="13.6640625" style="451" customWidth="1"/>
    <col min="12041" max="12041" width="28.88671875" style="451" customWidth="1"/>
    <col min="12042" max="12042" width="27.6640625" style="451" customWidth="1"/>
    <col min="12043" max="12043" width="0" style="451" hidden="1" customWidth="1"/>
    <col min="12044" max="12044" width="15.6640625" style="451" customWidth="1"/>
    <col min="12045" max="12047" width="9.109375" style="451"/>
    <col min="12048" max="12048" width="8.88671875" style="451" customWidth="1"/>
    <col min="12049" max="12049" width="10" style="451" customWidth="1"/>
    <col min="12050" max="12050" width="14.33203125" style="451" customWidth="1"/>
    <col min="12051" max="12288" width="9.109375" style="451"/>
    <col min="12289" max="12289" width="4.6640625" style="451" customWidth="1"/>
    <col min="12290" max="12290" width="11.5546875" style="451" customWidth="1"/>
    <col min="12291" max="12291" width="9.6640625" style="451" customWidth="1"/>
    <col min="12292" max="12292" width="26.33203125" style="451" customWidth="1"/>
    <col min="12293" max="12293" width="25.88671875" style="451" customWidth="1"/>
    <col min="12294" max="12294" width="17.5546875" style="451" customWidth="1"/>
    <col min="12295" max="12295" width="13.109375" style="451" customWidth="1"/>
    <col min="12296" max="12296" width="13.6640625" style="451" customWidth="1"/>
    <col min="12297" max="12297" width="28.88671875" style="451" customWidth="1"/>
    <col min="12298" max="12298" width="27.6640625" style="451" customWidth="1"/>
    <col min="12299" max="12299" width="0" style="451" hidden="1" customWidth="1"/>
    <col min="12300" max="12300" width="15.6640625" style="451" customWidth="1"/>
    <col min="12301" max="12303" width="9.109375" style="451"/>
    <col min="12304" max="12304" width="8.88671875" style="451" customWidth="1"/>
    <col min="12305" max="12305" width="10" style="451" customWidth="1"/>
    <col min="12306" max="12306" width="14.33203125" style="451" customWidth="1"/>
    <col min="12307" max="12544" width="9.109375" style="451"/>
    <col min="12545" max="12545" width="4.6640625" style="451" customWidth="1"/>
    <col min="12546" max="12546" width="11.5546875" style="451" customWidth="1"/>
    <col min="12547" max="12547" width="9.6640625" style="451" customWidth="1"/>
    <col min="12548" max="12548" width="26.33203125" style="451" customWidth="1"/>
    <col min="12549" max="12549" width="25.88671875" style="451" customWidth="1"/>
    <col min="12550" max="12550" width="17.5546875" style="451" customWidth="1"/>
    <col min="12551" max="12551" width="13.109375" style="451" customWidth="1"/>
    <col min="12552" max="12552" width="13.6640625" style="451" customWidth="1"/>
    <col min="12553" max="12553" width="28.88671875" style="451" customWidth="1"/>
    <col min="12554" max="12554" width="27.6640625" style="451" customWidth="1"/>
    <col min="12555" max="12555" width="0" style="451" hidden="1" customWidth="1"/>
    <col min="12556" max="12556" width="15.6640625" style="451" customWidth="1"/>
    <col min="12557" max="12559" width="9.109375" style="451"/>
    <col min="12560" max="12560" width="8.88671875" style="451" customWidth="1"/>
    <col min="12561" max="12561" width="10" style="451" customWidth="1"/>
    <col min="12562" max="12562" width="14.33203125" style="451" customWidth="1"/>
    <col min="12563" max="12800" width="9.109375" style="451"/>
    <col min="12801" max="12801" width="4.6640625" style="451" customWidth="1"/>
    <col min="12802" max="12802" width="11.5546875" style="451" customWidth="1"/>
    <col min="12803" max="12803" width="9.6640625" style="451" customWidth="1"/>
    <col min="12804" max="12804" width="26.33203125" style="451" customWidth="1"/>
    <col min="12805" max="12805" width="25.88671875" style="451" customWidth="1"/>
    <col min="12806" max="12806" width="17.5546875" style="451" customWidth="1"/>
    <col min="12807" max="12807" width="13.109375" style="451" customWidth="1"/>
    <col min="12808" max="12808" width="13.6640625" style="451" customWidth="1"/>
    <col min="12809" max="12809" width="28.88671875" style="451" customWidth="1"/>
    <col min="12810" max="12810" width="27.6640625" style="451" customWidth="1"/>
    <col min="12811" max="12811" width="0" style="451" hidden="1" customWidth="1"/>
    <col min="12812" max="12812" width="15.6640625" style="451" customWidth="1"/>
    <col min="12813" max="12815" width="9.109375" style="451"/>
    <col min="12816" max="12816" width="8.88671875" style="451" customWidth="1"/>
    <col min="12817" max="12817" width="10" style="451" customWidth="1"/>
    <col min="12818" max="12818" width="14.33203125" style="451" customWidth="1"/>
    <col min="12819" max="13056" width="9.109375" style="451"/>
    <col min="13057" max="13057" width="4.6640625" style="451" customWidth="1"/>
    <col min="13058" max="13058" width="11.5546875" style="451" customWidth="1"/>
    <col min="13059" max="13059" width="9.6640625" style="451" customWidth="1"/>
    <col min="13060" max="13060" width="26.33203125" style="451" customWidth="1"/>
    <col min="13061" max="13061" width="25.88671875" style="451" customWidth="1"/>
    <col min="13062" max="13062" width="17.5546875" style="451" customWidth="1"/>
    <col min="13063" max="13063" width="13.109375" style="451" customWidth="1"/>
    <col min="13064" max="13064" width="13.6640625" style="451" customWidth="1"/>
    <col min="13065" max="13065" width="28.88671875" style="451" customWidth="1"/>
    <col min="13066" max="13066" width="27.6640625" style="451" customWidth="1"/>
    <col min="13067" max="13067" width="0" style="451" hidden="1" customWidth="1"/>
    <col min="13068" max="13068" width="15.6640625" style="451" customWidth="1"/>
    <col min="13069" max="13071" width="9.109375" style="451"/>
    <col min="13072" max="13072" width="8.88671875" style="451" customWidth="1"/>
    <col min="13073" max="13073" width="10" style="451" customWidth="1"/>
    <col min="13074" max="13074" width="14.33203125" style="451" customWidth="1"/>
    <col min="13075" max="13312" width="9.109375" style="451"/>
    <col min="13313" max="13313" width="4.6640625" style="451" customWidth="1"/>
    <col min="13314" max="13314" width="11.5546875" style="451" customWidth="1"/>
    <col min="13315" max="13315" width="9.6640625" style="451" customWidth="1"/>
    <col min="13316" max="13316" width="26.33203125" style="451" customWidth="1"/>
    <col min="13317" max="13317" width="25.88671875" style="451" customWidth="1"/>
    <col min="13318" max="13318" width="17.5546875" style="451" customWidth="1"/>
    <col min="13319" max="13319" width="13.109375" style="451" customWidth="1"/>
    <col min="13320" max="13320" width="13.6640625" style="451" customWidth="1"/>
    <col min="13321" max="13321" width="28.88671875" style="451" customWidth="1"/>
    <col min="13322" max="13322" width="27.6640625" style="451" customWidth="1"/>
    <col min="13323" max="13323" width="0" style="451" hidden="1" customWidth="1"/>
    <col min="13324" max="13324" width="15.6640625" style="451" customWidth="1"/>
    <col min="13325" max="13327" width="9.109375" style="451"/>
    <col min="13328" max="13328" width="8.88671875" style="451" customWidth="1"/>
    <col min="13329" max="13329" width="10" style="451" customWidth="1"/>
    <col min="13330" max="13330" width="14.33203125" style="451" customWidth="1"/>
    <col min="13331" max="13568" width="9.109375" style="451"/>
    <col min="13569" max="13569" width="4.6640625" style="451" customWidth="1"/>
    <col min="13570" max="13570" width="11.5546875" style="451" customWidth="1"/>
    <col min="13571" max="13571" width="9.6640625" style="451" customWidth="1"/>
    <col min="13572" max="13572" width="26.33203125" style="451" customWidth="1"/>
    <col min="13573" max="13573" width="25.88671875" style="451" customWidth="1"/>
    <col min="13574" max="13574" width="17.5546875" style="451" customWidth="1"/>
    <col min="13575" max="13575" width="13.109375" style="451" customWidth="1"/>
    <col min="13576" max="13576" width="13.6640625" style="451" customWidth="1"/>
    <col min="13577" max="13577" width="28.88671875" style="451" customWidth="1"/>
    <col min="13578" max="13578" width="27.6640625" style="451" customWidth="1"/>
    <col min="13579" max="13579" width="0" style="451" hidden="1" customWidth="1"/>
    <col min="13580" max="13580" width="15.6640625" style="451" customWidth="1"/>
    <col min="13581" max="13583" width="9.109375" style="451"/>
    <col min="13584" max="13584" width="8.88671875" style="451" customWidth="1"/>
    <col min="13585" max="13585" width="10" style="451" customWidth="1"/>
    <col min="13586" max="13586" width="14.33203125" style="451" customWidth="1"/>
    <col min="13587" max="13824" width="9.109375" style="451"/>
    <col min="13825" max="13825" width="4.6640625" style="451" customWidth="1"/>
    <col min="13826" max="13826" width="11.5546875" style="451" customWidth="1"/>
    <col min="13827" max="13827" width="9.6640625" style="451" customWidth="1"/>
    <col min="13828" max="13828" width="26.33203125" style="451" customWidth="1"/>
    <col min="13829" max="13829" width="25.88671875" style="451" customWidth="1"/>
    <col min="13830" max="13830" width="17.5546875" style="451" customWidth="1"/>
    <col min="13831" max="13831" width="13.109375" style="451" customWidth="1"/>
    <col min="13832" max="13832" width="13.6640625" style="451" customWidth="1"/>
    <col min="13833" max="13833" width="28.88671875" style="451" customWidth="1"/>
    <col min="13834" max="13834" width="27.6640625" style="451" customWidth="1"/>
    <col min="13835" max="13835" width="0" style="451" hidden="1" customWidth="1"/>
    <col min="13836" max="13836" width="15.6640625" style="451" customWidth="1"/>
    <col min="13837" max="13839" width="9.109375" style="451"/>
    <col min="13840" max="13840" width="8.88671875" style="451" customWidth="1"/>
    <col min="13841" max="13841" width="10" style="451" customWidth="1"/>
    <col min="13842" max="13842" width="14.33203125" style="451" customWidth="1"/>
    <col min="13843" max="14080" width="9.109375" style="451"/>
    <col min="14081" max="14081" width="4.6640625" style="451" customWidth="1"/>
    <col min="14082" max="14082" width="11.5546875" style="451" customWidth="1"/>
    <col min="14083" max="14083" width="9.6640625" style="451" customWidth="1"/>
    <col min="14084" max="14084" width="26.33203125" style="451" customWidth="1"/>
    <col min="14085" max="14085" width="25.88671875" style="451" customWidth="1"/>
    <col min="14086" max="14086" width="17.5546875" style="451" customWidth="1"/>
    <col min="14087" max="14087" width="13.109375" style="451" customWidth="1"/>
    <col min="14088" max="14088" width="13.6640625" style="451" customWidth="1"/>
    <col min="14089" max="14089" width="28.88671875" style="451" customWidth="1"/>
    <col min="14090" max="14090" width="27.6640625" style="451" customWidth="1"/>
    <col min="14091" max="14091" width="0" style="451" hidden="1" customWidth="1"/>
    <col min="14092" max="14092" width="15.6640625" style="451" customWidth="1"/>
    <col min="14093" max="14095" width="9.109375" style="451"/>
    <col min="14096" max="14096" width="8.88671875" style="451" customWidth="1"/>
    <col min="14097" max="14097" width="10" style="451" customWidth="1"/>
    <col min="14098" max="14098" width="14.33203125" style="451" customWidth="1"/>
    <col min="14099" max="14336" width="9.109375" style="451"/>
    <col min="14337" max="14337" width="4.6640625" style="451" customWidth="1"/>
    <col min="14338" max="14338" width="11.5546875" style="451" customWidth="1"/>
    <col min="14339" max="14339" width="9.6640625" style="451" customWidth="1"/>
    <col min="14340" max="14340" width="26.33203125" style="451" customWidth="1"/>
    <col min="14341" max="14341" width="25.88671875" style="451" customWidth="1"/>
    <col min="14342" max="14342" width="17.5546875" style="451" customWidth="1"/>
    <col min="14343" max="14343" width="13.109375" style="451" customWidth="1"/>
    <col min="14344" max="14344" width="13.6640625" style="451" customWidth="1"/>
    <col min="14345" max="14345" width="28.88671875" style="451" customWidth="1"/>
    <col min="14346" max="14346" width="27.6640625" style="451" customWidth="1"/>
    <col min="14347" max="14347" width="0" style="451" hidden="1" customWidth="1"/>
    <col min="14348" max="14348" width="15.6640625" style="451" customWidth="1"/>
    <col min="14349" max="14351" width="9.109375" style="451"/>
    <col min="14352" max="14352" width="8.88671875" style="451" customWidth="1"/>
    <col min="14353" max="14353" width="10" style="451" customWidth="1"/>
    <col min="14354" max="14354" width="14.33203125" style="451" customWidth="1"/>
    <col min="14355" max="14592" width="9.109375" style="451"/>
    <col min="14593" max="14593" width="4.6640625" style="451" customWidth="1"/>
    <col min="14594" max="14594" width="11.5546875" style="451" customWidth="1"/>
    <col min="14595" max="14595" width="9.6640625" style="451" customWidth="1"/>
    <col min="14596" max="14596" width="26.33203125" style="451" customWidth="1"/>
    <col min="14597" max="14597" width="25.88671875" style="451" customWidth="1"/>
    <col min="14598" max="14598" width="17.5546875" style="451" customWidth="1"/>
    <col min="14599" max="14599" width="13.109375" style="451" customWidth="1"/>
    <col min="14600" max="14600" width="13.6640625" style="451" customWidth="1"/>
    <col min="14601" max="14601" width="28.88671875" style="451" customWidth="1"/>
    <col min="14602" max="14602" width="27.6640625" style="451" customWidth="1"/>
    <col min="14603" max="14603" width="0" style="451" hidden="1" customWidth="1"/>
    <col min="14604" max="14604" width="15.6640625" style="451" customWidth="1"/>
    <col min="14605" max="14607" width="9.109375" style="451"/>
    <col min="14608" max="14608" width="8.88671875" style="451" customWidth="1"/>
    <col min="14609" max="14609" width="10" style="451" customWidth="1"/>
    <col min="14610" max="14610" width="14.33203125" style="451" customWidth="1"/>
    <col min="14611" max="14848" width="9.109375" style="451"/>
    <col min="14849" max="14849" width="4.6640625" style="451" customWidth="1"/>
    <col min="14850" max="14850" width="11.5546875" style="451" customWidth="1"/>
    <col min="14851" max="14851" width="9.6640625" style="451" customWidth="1"/>
    <col min="14852" max="14852" width="26.33203125" style="451" customWidth="1"/>
    <col min="14853" max="14853" width="25.88671875" style="451" customWidth="1"/>
    <col min="14854" max="14854" width="17.5546875" style="451" customWidth="1"/>
    <col min="14855" max="14855" width="13.109375" style="451" customWidth="1"/>
    <col min="14856" max="14856" width="13.6640625" style="451" customWidth="1"/>
    <col min="14857" max="14857" width="28.88671875" style="451" customWidth="1"/>
    <col min="14858" max="14858" width="27.6640625" style="451" customWidth="1"/>
    <col min="14859" max="14859" width="0" style="451" hidden="1" customWidth="1"/>
    <col min="14860" max="14860" width="15.6640625" style="451" customWidth="1"/>
    <col min="14861" max="14863" width="9.109375" style="451"/>
    <col min="14864" max="14864" width="8.88671875" style="451" customWidth="1"/>
    <col min="14865" max="14865" width="10" style="451" customWidth="1"/>
    <col min="14866" max="14866" width="14.33203125" style="451" customWidth="1"/>
    <col min="14867" max="15104" width="9.109375" style="451"/>
    <col min="15105" max="15105" width="4.6640625" style="451" customWidth="1"/>
    <col min="15106" max="15106" width="11.5546875" style="451" customWidth="1"/>
    <col min="15107" max="15107" width="9.6640625" style="451" customWidth="1"/>
    <col min="15108" max="15108" width="26.33203125" style="451" customWidth="1"/>
    <col min="15109" max="15109" width="25.88671875" style="451" customWidth="1"/>
    <col min="15110" max="15110" width="17.5546875" style="451" customWidth="1"/>
    <col min="15111" max="15111" width="13.109375" style="451" customWidth="1"/>
    <col min="15112" max="15112" width="13.6640625" style="451" customWidth="1"/>
    <col min="15113" max="15113" width="28.88671875" style="451" customWidth="1"/>
    <col min="15114" max="15114" width="27.6640625" style="451" customWidth="1"/>
    <col min="15115" max="15115" width="0" style="451" hidden="1" customWidth="1"/>
    <col min="15116" max="15116" width="15.6640625" style="451" customWidth="1"/>
    <col min="15117" max="15119" width="9.109375" style="451"/>
    <col min="15120" max="15120" width="8.88671875" style="451" customWidth="1"/>
    <col min="15121" max="15121" width="10" style="451" customWidth="1"/>
    <col min="15122" max="15122" width="14.33203125" style="451" customWidth="1"/>
    <col min="15123" max="15360" width="9.109375" style="451"/>
    <col min="15361" max="15361" width="4.6640625" style="451" customWidth="1"/>
    <col min="15362" max="15362" width="11.5546875" style="451" customWidth="1"/>
    <col min="15363" max="15363" width="9.6640625" style="451" customWidth="1"/>
    <col min="15364" max="15364" width="26.33203125" style="451" customWidth="1"/>
    <col min="15365" max="15365" width="25.88671875" style="451" customWidth="1"/>
    <col min="15366" max="15366" width="17.5546875" style="451" customWidth="1"/>
    <col min="15367" max="15367" width="13.109375" style="451" customWidth="1"/>
    <col min="15368" max="15368" width="13.6640625" style="451" customWidth="1"/>
    <col min="15369" max="15369" width="28.88671875" style="451" customWidth="1"/>
    <col min="15370" max="15370" width="27.6640625" style="451" customWidth="1"/>
    <col min="15371" max="15371" width="0" style="451" hidden="1" customWidth="1"/>
    <col min="15372" max="15372" width="15.6640625" style="451" customWidth="1"/>
    <col min="15373" max="15375" width="9.109375" style="451"/>
    <col min="15376" max="15376" width="8.88671875" style="451" customWidth="1"/>
    <col min="15377" max="15377" width="10" style="451" customWidth="1"/>
    <col min="15378" max="15378" width="14.33203125" style="451" customWidth="1"/>
    <col min="15379" max="15616" width="9.109375" style="451"/>
    <col min="15617" max="15617" width="4.6640625" style="451" customWidth="1"/>
    <col min="15618" max="15618" width="11.5546875" style="451" customWidth="1"/>
    <col min="15619" max="15619" width="9.6640625" style="451" customWidth="1"/>
    <col min="15620" max="15620" width="26.33203125" style="451" customWidth="1"/>
    <col min="15621" max="15621" width="25.88671875" style="451" customWidth="1"/>
    <col min="15622" max="15622" width="17.5546875" style="451" customWidth="1"/>
    <col min="15623" max="15623" width="13.109375" style="451" customWidth="1"/>
    <col min="15624" max="15624" width="13.6640625" style="451" customWidth="1"/>
    <col min="15625" max="15625" width="28.88671875" style="451" customWidth="1"/>
    <col min="15626" max="15626" width="27.6640625" style="451" customWidth="1"/>
    <col min="15627" max="15627" width="0" style="451" hidden="1" customWidth="1"/>
    <col min="15628" max="15628" width="15.6640625" style="451" customWidth="1"/>
    <col min="15629" max="15631" width="9.109375" style="451"/>
    <col min="15632" max="15632" width="8.88671875" style="451" customWidth="1"/>
    <col min="15633" max="15633" width="10" style="451" customWidth="1"/>
    <col min="15634" max="15634" width="14.33203125" style="451" customWidth="1"/>
    <col min="15635" max="15872" width="9.109375" style="451"/>
    <col min="15873" max="15873" width="4.6640625" style="451" customWidth="1"/>
    <col min="15874" max="15874" width="11.5546875" style="451" customWidth="1"/>
    <col min="15875" max="15875" width="9.6640625" style="451" customWidth="1"/>
    <col min="15876" max="15876" width="26.33203125" style="451" customWidth="1"/>
    <col min="15877" max="15877" width="25.88671875" style="451" customWidth="1"/>
    <col min="15878" max="15878" width="17.5546875" style="451" customWidth="1"/>
    <col min="15879" max="15879" width="13.109375" style="451" customWidth="1"/>
    <col min="15880" max="15880" width="13.6640625" style="451" customWidth="1"/>
    <col min="15881" max="15881" width="28.88671875" style="451" customWidth="1"/>
    <col min="15882" max="15882" width="27.6640625" style="451" customWidth="1"/>
    <col min="15883" max="15883" width="0" style="451" hidden="1" customWidth="1"/>
    <col min="15884" max="15884" width="15.6640625" style="451" customWidth="1"/>
    <col min="15885" max="15887" width="9.109375" style="451"/>
    <col min="15888" max="15888" width="8.88671875" style="451" customWidth="1"/>
    <col min="15889" max="15889" width="10" style="451" customWidth="1"/>
    <col min="15890" max="15890" width="14.33203125" style="451" customWidth="1"/>
    <col min="15891" max="16128" width="9.109375" style="451"/>
    <col min="16129" max="16129" width="4.6640625" style="451" customWidth="1"/>
    <col min="16130" max="16130" width="11.5546875" style="451" customWidth="1"/>
    <col min="16131" max="16131" width="9.6640625" style="451" customWidth="1"/>
    <col min="16132" max="16132" width="26.33203125" style="451" customWidth="1"/>
    <col min="16133" max="16133" width="25.88671875" style="451" customWidth="1"/>
    <col min="16134" max="16134" width="17.5546875" style="451" customWidth="1"/>
    <col min="16135" max="16135" width="13.109375" style="451" customWidth="1"/>
    <col min="16136" max="16136" width="13.6640625" style="451" customWidth="1"/>
    <col min="16137" max="16137" width="28.88671875" style="451" customWidth="1"/>
    <col min="16138" max="16138" width="27.6640625" style="451" customWidth="1"/>
    <col min="16139" max="16139" width="0" style="451" hidden="1" customWidth="1"/>
    <col min="16140" max="16140" width="15.6640625" style="451" customWidth="1"/>
    <col min="16141" max="16143" width="9.109375" style="451"/>
    <col min="16144" max="16144" width="8.88671875" style="451" customWidth="1"/>
    <col min="16145" max="16145" width="10" style="451" customWidth="1"/>
    <col min="16146" max="16146" width="14.33203125" style="451" customWidth="1"/>
    <col min="16147" max="16384" width="9.109375" style="451"/>
  </cols>
  <sheetData>
    <row r="1" spans="1:36" ht="13.8" thickBot="1" x14ac:dyDescent="0.3">
      <c r="A1" s="646" t="s">
        <v>531</v>
      </c>
      <c r="B1" s="647"/>
      <c r="C1" s="647"/>
      <c r="D1" s="647"/>
      <c r="E1" s="647"/>
      <c r="F1" s="647"/>
      <c r="G1" s="647"/>
      <c r="H1" s="447"/>
      <c r="I1" s="448"/>
      <c r="J1" s="448"/>
      <c r="K1" s="449"/>
      <c r="L1" s="450"/>
      <c r="AF1" s="650" t="s">
        <v>532</v>
      </c>
      <c r="AG1" s="651"/>
      <c r="AH1" s="50"/>
      <c r="AI1" s="652" t="s">
        <v>533</v>
      </c>
      <c r="AJ1" s="653"/>
    </row>
    <row r="2" spans="1:36" ht="13.2" x14ac:dyDescent="0.25">
      <c r="A2" s="648"/>
      <c r="B2" s="649"/>
      <c r="C2" s="649"/>
      <c r="D2" s="649"/>
      <c r="E2" s="649"/>
      <c r="F2" s="649"/>
      <c r="G2" s="649"/>
      <c r="L2" s="454"/>
      <c r="AF2" s="455"/>
      <c r="AG2" s="456"/>
      <c r="AH2" s="50"/>
      <c r="AI2" s="457"/>
      <c r="AJ2" s="458"/>
    </row>
    <row r="3" spans="1:36" ht="13.2" x14ac:dyDescent="0.25">
      <c r="A3" s="648"/>
      <c r="B3" s="649"/>
      <c r="C3" s="649"/>
      <c r="D3" s="649"/>
      <c r="E3" s="649"/>
      <c r="F3" s="649"/>
      <c r="G3" s="649"/>
      <c r="J3" s="459"/>
      <c r="L3" s="454"/>
      <c r="AF3" s="455"/>
      <c r="AG3" s="456"/>
      <c r="AH3" s="50"/>
      <c r="AI3" s="457"/>
      <c r="AJ3" s="458"/>
    </row>
    <row r="4" spans="1:36" ht="13.2" x14ac:dyDescent="0.25">
      <c r="A4" s="648" t="str">
        <f>Capa!E6</f>
        <v>Fidelize</v>
      </c>
      <c r="B4" s="649"/>
      <c r="C4" s="649"/>
      <c r="D4" s="649"/>
      <c r="E4" s="649"/>
      <c r="F4" s="649"/>
      <c r="G4" s="649"/>
      <c r="L4" s="454"/>
      <c r="AF4" s="455"/>
      <c r="AG4" s="456"/>
      <c r="AH4" s="50"/>
      <c r="AI4" s="457"/>
      <c r="AJ4" s="458"/>
    </row>
    <row r="5" spans="1:36" ht="27" thickBot="1" x14ac:dyDescent="0.3">
      <c r="A5" s="654"/>
      <c r="B5" s="655"/>
      <c r="C5" s="655"/>
      <c r="D5" s="655"/>
      <c r="E5" s="655"/>
      <c r="F5" s="655"/>
      <c r="G5" s="655"/>
      <c r="H5" s="460"/>
      <c r="I5" s="461"/>
      <c r="J5" s="461"/>
      <c r="K5" s="460"/>
      <c r="L5" s="462"/>
      <c r="AF5" s="463" t="s">
        <v>534</v>
      </c>
      <c r="AG5" s="464">
        <v>1</v>
      </c>
      <c r="AH5" s="50"/>
      <c r="AI5" s="463" t="s">
        <v>535</v>
      </c>
      <c r="AJ5" s="464">
        <v>1</v>
      </c>
    </row>
    <row r="6" spans="1:36" ht="27" thickBot="1" x14ac:dyDescent="0.3">
      <c r="A6" s="656" t="s">
        <v>536</v>
      </c>
      <c r="B6" s="465" t="s">
        <v>537</v>
      </c>
      <c r="C6" s="465"/>
      <c r="D6" s="658" t="s">
        <v>538</v>
      </c>
      <c r="E6" s="659"/>
      <c r="F6" s="660"/>
      <c r="G6" s="466"/>
      <c r="H6" s="661" t="s">
        <v>539</v>
      </c>
      <c r="I6" s="451"/>
      <c r="J6" s="451"/>
      <c r="AB6" s="467" t="s">
        <v>540</v>
      </c>
      <c r="AC6" s="468">
        <v>2</v>
      </c>
      <c r="AD6" s="50"/>
      <c r="AE6" s="467" t="s">
        <v>541</v>
      </c>
      <c r="AF6" s="468">
        <v>2</v>
      </c>
    </row>
    <row r="7" spans="1:36" s="473" customFormat="1" ht="31.2" thickBot="1" x14ac:dyDescent="0.3">
      <c r="A7" s="657"/>
      <c r="B7" s="469" t="s">
        <v>542</v>
      </c>
      <c r="C7" s="469" t="s">
        <v>543</v>
      </c>
      <c r="D7" s="470" t="s">
        <v>544</v>
      </c>
      <c r="E7" s="470" t="s">
        <v>545</v>
      </c>
      <c r="F7" s="471" t="s">
        <v>546</v>
      </c>
      <c r="G7" s="472" t="s">
        <v>547</v>
      </c>
      <c r="H7" s="662"/>
      <c r="AB7" s="467" t="s">
        <v>548</v>
      </c>
      <c r="AC7" s="468">
        <v>3</v>
      </c>
      <c r="AD7" s="50"/>
      <c r="AE7" s="467" t="s">
        <v>549</v>
      </c>
      <c r="AF7" s="468">
        <v>3</v>
      </c>
    </row>
    <row r="8" spans="1:36" ht="61.2" x14ac:dyDescent="0.25">
      <c r="A8" s="474" t="s">
        <v>550</v>
      </c>
      <c r="B8" s="475" t="s">
        <v>551</v>
      </c>
      <c r="C8" s="475" t="s">
        <v>552</v>
      </c>
      <c r="D8" s="476" t="s">
        <v>553</v>
      </c>
      <c r="E8" s="477" t="s">
        <v>554</v>
      </c>
      <c r="F8" s="476" t="s">
        <v>555</v>
      </c>
      <c r="G8" s="475" t="s">
        <v>556</v>
      </c>
      <c r="H8" s="478" t="e">
        <f>'Qualificar os riscos'!J8</f>
        <v>#N/A</v>
      </c>
      <c r="I8" s="451"/>
      <c r="J8" s="451"/>
      <c r="AB8" s="479" t="s">
        <v>557</v>
      </c>
      <c r="AC8" s="480">
        <v>4</v>
      </c>
      <c r="AD8" s="481"/>
      <c r="AE8" s="479" t="s">
        <v>558</v>
      </c>
      <c r="AF8" s="480">
        <v>4</v>
      </c>
    </row>
    <row r="9" spans="1:36" ht="72" thickBot="1" x14ac:dyDescent="0.3">
      <c r="A9" s="474" t="s">
        <v>559</v>
      </c>
      <c r="B9" s="475" t="s">
        <v>560</v>
      </c>
      <c r="C9" s="475" t="s">
        <v>561</v>
      </c>
      <c r="D9" s="476" t="s">
        <v>562</v>
      </c>
      <c r="E9" s="477" t="s">
        <v>563</v>
      </c>
      <c r="F9" s="476" t="s">
        <v>564</v>
      </c>
      <c r="G9" s="475" t="s">
        <v>565</v>
      </c>
      <c r="H9" s="478">
        <v>7.0000000000000007E-2</v>
      </c>
      <c r="I9" s="451"/>
      <c r="J9" s="451"/>
      <c r="AB9" s="482"/>
      <c r="AC9" s="483"/>
      <c r="AD9" s="481"/>
      <c r="AE9" s="479"/>
      <c r="AF9" s="480"/>
    </row>
    <row r="10" spans="1:36" ht="72" thickBot="1" x14ac:dyDescent="0.3">
      <c r="A10" s="474" t="s">
        <v>566</v>
      </c>
      <c r="B10" s="475" t="s">
        <v>567</v>
      </c>
      <c r="C10" s="475" t="s">
        <v>568</v>
      </c>
      <c r="D10" s="476" t="s">
        <v>569</v>
      </c>
      <c r="E10" s="477" t="s">
        <v>570</v>
      </c>
      <c r="F10" s="476" t="s">
        <v>571</v>
      </c>
      <c r="G10" s="475" t="s">
        <v>572</v>
      </c>
      <c r="H10" s="478">
        <v>0.08</v>
      </c>
      <c r="I10" s="451"/>
      <c r="J10" s="451"/>
      <c r="AB10" s="482"/>
      <c r="AC10" s="483"/>
      <c r="AD10" s="481"/>
      <c r="AE10" s="479"/>
      <c r="AF10" s="480"/>
    </row>
    <row r="11" spans="1:36" ht="51.6" thickBot="1" x14ac:dyDescent="0.3">
      <c r="A11" s="474" t="s">
        <v>573</v>
      </c>
      <c r="B11" s="475" t="s">
        <v>574</v>
      </c>
      <c r="C11" s="475" t="s">
        <v>575</v>
      </c>
      <c r="D11" s="476" t="s">
        <v>576</v>
      </c>
      <c r="E11" s="477" t="s">
        <v>577</v>
      </c>
      <c r="F11" s="476" t="s">
        <v>578</v>
      </c>
      <c r="G11" s="475" t="s">
        <v>579</v>
      </c>
      <c r="H11" s="484">
        <v>0.6</v>
      </c>
      <c r="I11" s="451"/>
      <c r="J11" s="451"/>
      <c r="AB11" s="482"/>
      <c r="AC11" s="483"/>
      <c r="AD11" s="481"/>
      <c r="AE11" s="479"/>
      <c r="AF11" s="480"/>
    </row>
    <row r="12" spans="1:36" ht="13.8" thickBot="1" x14ac:dyDescent="0.3">
      <c r="I12" s="451"/>
      <c r="J12" s="451"/>
      <c r="AB12" s="482"/>
      <c r="AC12" s="483"/>
      <c r="AD12" s="481"/>
      <c r="AE12" s="479"/>
      <c r="AF12" s="480"/>
    </row>
    <row r="13" spans="1:36" ht="13.8" thickBot="1" x14ac:dyDescent="0.3">
      <c r="I13" s="451"/>
      <c r="J13" s="451"/>
      <c r="AB13" s="482"/>
      <c r="AC13" s="483"/>
      <c r="AD13" s="481"/>
      <c r="AE13" s="479"/>
      <c r="AF13" s="480"/>
    </row>
    <row r="14" spans="1:36" ht="13.8" thickBot="1" x14ac:dyDescent="0.3">
      <c r="I14" s="451"/>
      <c r="J14" s="451"/>
      <c r="AB14" s="482"/>
      <c r="AC14" s="483"/>
      <c r="AD14" s="481"/>
      <c r="AE14" s="479"/>
      <c r="AF14" s="480"/>
    </row>
    <row r="15" spans="1:36" ht="13.8" thickBot="1" x14ac:dyDescent="0.3">
      <c r="I15" s="451"/>
      <c r="J15" s="451"/>
      <c r="AB15" s="482"/>
      <c r="AC15" s="483"/>
      <c r="AD15" s="481"/>
      <c r="AE15" s="479"/>
      <c r="AF15" s="480"/>
    </row>
    <row r="16" spans="1:36" ht="13.8" thickBot="1" x14ac:dyDescent="0.3">
      <c r="I16" s="451"/>
      <c r="J16" s="451"/>
      <c r="AB16" s="482"/>
      <c r="AC16" s="483"/>
      <c r="AD16" s="481"/>
      <c r="AE16" s="479"/>
      <c r="AF16" s="480"/>
    </row>
    <row r="17" spans="9:32" ht="13.8" thickBot="1" x14ac:dyDescent="0.3">
      <c r="I17" s="451"/>
      <c r="J17" s="451"/>
      <c r="AB17" s="482"/>
      <c r="AC17" s="483"/>
      <c r="AD17" s="481"/>
      <c r="AE17" s="479"/>
      <c r="AF17" s="480"/>
    </row>
    <row r="18" spans="9:32" ht="13.8" thickBot="1" x14ac:dyDescent="0.3">
      <c r="I18" s="451"/>
      <c r="J18" s="451"/>
      <c r="AB18" s="482"/>
      <c r="AC18" s="483"/>
      <c r="AD18" s="481"/>
      <c r="AE18" s="479"/>
      <c r="AF18" s="480"/>
    </row>
    <row r="19" spans="9:32" ht="13.8" thickBot="1" x14ac:dyDescent="0.3">
      <c r="I19" s="451"/>
      <c r="J19" s="451"/>
      <c r="AB19" s="482"/>
      <c r="AC19" s="483"/>
      <c r="AD19" s="481"/>
      <c r="AE19" s="479"/>
      <c r="AF19" s="480"/>
    </row>
    <row r="20" spans="9:32" x14ac:dyDescent="0.25">
      <c r="I20" s="451"/>
      <c r="J20" s="451"/>
    </row>
    <row r="21" spans="9:32" x14ac:dyDescent="0.25">
      <c r="I21" s="451"/>
      <c r="J21" s="451"/>
    </row>
    <row r="22" spans="9:32" x14ac:dyDescent="0.25">
      <c r="I22" s="451"/>
      <c r="J22" s="451"/>
    </row>
    <row r="23" spans="9:32" x14ac:dyDescent="0.25">
      <c r="I23" s="451"/>
      <c r="J23" s="451"/>
    </row>
    <row r="24" spans="9:32" x14ac:dyDescent="0.25">
      <c r="I24" s="451"/>
      <c r="J24" s="451"/>
    </row>
    <row r="25" spans="9:32" x14ac:dyDescent="0.25">
      <c r="I25" s="451"/>
      <c r="J25" s="451"/>
    </row>
    <row r="26" spans="9:32" x14ac:dyDescent="0.25">
      <c r="I26" s="451"/>
      <c r="J26" s="451"/>
    </row>
    <row r="27" spans="9:32" x14ac:dyDescent="0.25">
      <c r="I27" s="451"/>
      <c r="J27" s="451"/>
    </row>
  </sheetData>
  <mergeCells count="7">
    <mergeCell ref="A1:G3"/>
    <mergeCell ref="AF1:AG1"/>
    <mergeCell ref="AI1:AJ1"/>
    <mergeCell ref="A4:G5"/>
    <mergeCell ref="A6:A7"/>
    <mergeCell ref="D6:F6"/>
    <mergeCell ref="H6:H7"/>
  </mergeCells>
  <conditionalFormatting sqref="H8:H11">
    <cfRule type="cellIs" dxfId="8" priority="1" stopIfTrue="1" operator="between">
      <formula>0.005</formula>
      <formula>0.04</formula>
    </cfRule>
    <cfRule type="cellIs" dxfId="7" priority="2" stopIfTrue="1" operator="between">
      <formula>0.05</formula>
      <formula>0.17</formula>
    </cfRule>
    <cfRule type="cellIs" dxfId="6" priority="3" stopIfTrue="1" operator="between">
      <formula>0.18</formula>
      <formula>0.81</formula>
    </cfRule>
  </conditionalFormatting>
  <pageMargins left="0.39370078740157483" right="0.39370078740157483" top="0.39370078740157483" bottom="0.39370078740157483" header="0.31496062992125984" footer="0.31496062992125984"/>
  <pageSetup paperSize="9" scale="71" fitToHeight="3" orientation="landscape" r:id="rId1"/>
  <headerFooter alignWithMargins="0">
    <oddFooter>&amp;R&amp;D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749A-DE83-4AD0-B7BC-EF5DFB62BC96}">
  <sheetPr codeName="Plan4">
    <pageSetUpPr fitToPage="1"/>
  </sheetPr>
  <dimension ref="A1:AE32"/>
  <sheetViews>
    <sheetView showGridLines="0" zoomScale="105" zoomScaleNormal="100" workbookViewId="0">
      <pane xSplit="5" ySplit="7" topLeftCell="H8" activePane="bottomRight" state="frozen"/>
      <selection activeCell="F20" sqref="F20"/>
      <selection pane="topRight" activeCell="F20" sqref="F20"/>
      <selection pane="bottomLeft" activeCell="F20" sqref="F20"/>
      <selection pane="bottomRight" activeCell="F20" sqref="F20"/>
    </sheetView>
  </sheetViews>
  <sheetFormatPr defaultColWidth="9.109375" defaultRowHeight="10.199999999999999" x14ac:dyDescent="0.25"/>
  <cols>
    <col min="1" max="1" width="4.6640625" style="451" customWidth="1"/>
    <col min="2" max="2" width="30.88671875" style="451" customWidth="1"/>
    <col min="3" max="3" width="25" style="485" customWidth="1"/>
    <col min="4" max="4" width="32.6640625" style="451" customWidth="1"/>
    <col min="5" max="5" width="9.5546875" style="452" customWidth="1"/>
    <col min="6" max="6" width="17.44140625" style="451" customWidth="1"/>
    <col min="7" max="8" width="23.5546875" style="453" customWidth="1"/>
    <col min="9" max="9" width="26.33203125" style="453" customWidth="1"/>
    <col min="10" max="11" width="24.33203125" style="451" customWidth="1"/>
    <col min="12" max="12" width="8.88671875" style="451" customWidth="1"/>
    <col min="13" max="13" width="10" style="451" customWidth="1"/>
    <col min="14" max="14" width="14.33203125" style="451" customWidth="1"/>
    <col min="15" max="256" width="9.109375" style="451"/>
    <col min="257" max="257" width="4.6640625" style="451" customWidth="1"/>
    <col min="258" max="258" width="30.88671875" style="451" customWidth="1"/>
    <col min="259" max="259" width="25" style="451" customWidth="1"/>
    <col min="260" max="260" width="32.6640625" style="451" customWidth="1"/>
    <col min="261" max="261" width="9.5546875" style="451" customWidth="1"/>
    <col min="262" max="262" width="17.44140625" style="451" customWidth="1"/>
    <col min="263" max="264" width="23.5546875" style="451" customWidth="1"/>
    <col min="265" max="265" width="26.33203125" style="451" customWidth="1"/>
    <col min="266" max="267" width="24.33203125" style="451" customWidth="1"/>
    <col min="268" max="268" width="8.88671875" style="451" customWidth="1"/>
    <col min="269" max="269" width="10" style="451" customWidth="1"/>
    <col min="270" max="270" width="14.33203125" style="451" customWidth="1"/>
    <col min="271" max="512" width="9.109375" style="451"/>
    <col min="513" max="513" width="4.6640625" style="451" customWidth="1"/>
    <col min="514" max="514" width="30.88671875" style="451" customWidth="1"/>
    <col min="515" max="515" width="25" style="451" customWidth="1"/>
    <col min="516" max="516" width="32.6640625" style="451" customWidth="1"/>
    <col min="517" max="517" width="9.5546875" style="451" customWidth="1"/>
    <col min="518" max="518" width="17.44140625" style="451" customWidth="1"/>
    <col min="519" max="520" width="23.5546875" style="451" customWidth="1"/>
    <col min="521" max="521" width="26.33203125" style="451" customWidth="1"/>
    <col min="522" max="523" width="24.33203125" style="451" customWidth="1"/>
    <col min="524" max="524" width="8.88671875" style="451" customWidth="1"/>
    <col min="525" max="525" width="10" style="451" customWidth="1"/>
    <col min="526" max="526" width="14.33203125" style="451" customWidth="1"/>
    <col min="527" max="768" width="9.109375" style="451"/>
    <col min="769" max="769" width="4.6640625" style="451" customWidth="1"/>
    <col min="770" max="770" width="30.88671875" style="451" customWidth="1"/>
    <col min="771" max="771" width="25" style="451" customWidth="1"/>
    <col min="772" max="772" width="32.6640625" style="451" customWidth="1"/>
    <col min="773" max="773" width="9.5546875" style="451" customWidth="1"/>
    <col min="774" max="774" width="17.44140625" style="451" customWidth="1"/>
    <col min="775" max="776" width="23.5546875" style="451" customWidth="1"/>
    <col min="777" max="777" width="26.33203125" style="451" customWidth="1"/>
    <col min="778" max="779" width="24.33203125" style="451" customWidth="1"/>
    <col min="780" max="780" width="8.88671875" style="451" customWidth="1"/>
    <col min="781" max="781" width="10" style="451" customWidth="1"/>
    <col min="782" max="782" width="14.33203125" style="451" customWidth="1"/>
    <col min="783" max="1024" width="9.109375" style="451"/>
    <col min="1025" max="1025" width="4.6640625" style="451" customWidth="1"/>
    <col min="1026" max="1026" width="30.88671875" style="451" customWidth="1"/>
    <col min="1027" max="1027" width="25" style="451" customWidth="1"/>
    <col min="1028" max="1028" width="32.6640625" style="451" customWidth="1"/>
    <col min="1029" max="1029" width="9.5546875" style="451" customWidth="1"/>
    <col min="1030" max="1030" width="17.44140625" style="451" customWidth="1"/>
    <col min="1031" max="1032" width="23.5546875" style="451" customWidth="1"/>
    <col min="1033" max="1033" width="26.33203125" style="451" customWidth="1"/>
    <col min="1034" max="1035" width="24.33203125" style="451" customWidth="1"/>
    <col min="1036" max="1036" width="8.88671875" style="451" customWidth="1"/>
    <col min="1037" max="1037" width="10" style="451" customWidth="1"/>
    <col min="1038" max="1038" width="14.33203125" style="451" customWidth="1"/>
    <col min="1039" max="1280" width="9.109375" style="451"/>
    <col min="1281" max="1281" width="4.6640625" style="451" customWidth="1"/>
    <col min="1282" max="1282" width="30.88671875" style="451" customWidth="1"/>
    <col min="1283" max="1283" width="25" style="451" customWidth="1"/>
    <col min="1284" max="1284" width="32.6640625" style="451" customWidth="1"/>
    <col min="1285" max="1285" width="9.5546875" style="451" customWidth="1"/>
    <col min="1286" max="1286" width="17.44140625" style="451" customWidth="1"/>
    <col min="1287" max="1288" width="23.5546875" style="451" customWidth="1"/>
    <col min="1289" max="1289" width="26.33203125" style="451" customWidth="1"/>
    <col min="1290" max="1291" width="24.33203125" style="451" customWidth="1"/>
    <col min="1292" max="1292" width="8.88671875" style="451" customWidth="1"/>
    <col min="1293" max="1293" width="10" style="451" customWidth="1"/>
    <col min="1294" max="1294" width="14.33203125" style="451" customWidth="1"/>
    <col min="1295" max="1536" width="9.109375" style="451"/>
    <col min="1537" max="1537" width="4.6640625" style="451" customWidth="1"/>
    <col min="1538" max="1538" width="30.88671875" style="451" customWidth="1"/>
    <col min="1539" max="1539" width="25" style="451" customWidth="1"/>
    <col min="1540" max="1540" width="32.6640625" style="451" customWidth="1"/>
    <col min="1541" max="1541" width="9.5546875" style="451" customWidth="1"/>
    <col min="1542" max="1542" width="17.44140625" style="451" customWidth="1"/>
    <col min="1543" max="1544" width="23.5546875" style="451" customWidth="1"/>
    <col min="1545" max="1545" width="26.33203125" style="451" customWidth="1"/>
    <col min="1546" max="1547" width="24.33203125" style="451" customWidth="1"/>
    <col min="1548" max="1548" width="8.88671875" style="451" customWidth="1"/>
    <col min="1549" max="1549" width="10" style="451" customWidth="1"/>
    <col min="1550" max="1550" width="14.33203125" style="451" customWidth="1"/>
    <col min="1551" max="1792" width="9.109375" style="451"/>
    <col min="1793" max="1793" width="4.6640625" style="451" customWidth="1"/>
    <col min="1794" max="1794" width="30.88671875" style="451" customWidth="1"/>
    <col min="1795" max="1795" width="25" style="451" customWidth="1"/>
    <col min="1796" max="1796" width="32.6640625" style="451" customWidth="1"/>
    <col min="1797" max="1797" width="9.5546875" style="451" customWidth="1"/>
    <col min="1798" max="1798" width="17.44140625" style="451" customWidth="1"/>
    <col min="1799" max="1800" width="23.5546875" style="451" customWidth="1"/>
    <col min="1801" max="1801" width="26.33203125" style="451" customWidth="1"/>
    <col min="1802" max="1803" width="24.33203125" style="451" customWidth="1"/>
    <col min="1804" max="1804" width="8.88671875" style="451" customWidth="1"/>
    <col min="1805" max="1805" width="10" style="451" customWidth="1"/>
    <col min="1806" max="1806" width="14.33203125" style="451" customWidth="1"/>
    <col min="1807" max="2048" width="9.109375" style="451"/>
    <col min="2049" max="2049" width="4.6640625" style="451" customWidth="1"/>
    <col min="2050" max="2050" width="30.88671875" style="451" customWidth="1"/>
    <col min="2051" max="2051" width="25" style="451" customWidth="1"/>
    <col min="2052" max="2052" width="32.6640625" style="451" customWidth="1"/>
    <col min="2053" max="2053" width="9.5546875" style="451" customWidth="1"/>
    <col min="2054" max="2054" width="17.44140625" style="451" customWidth="1"/>
    <col min="2055" max="2056" width="23.5546875" style="451" customWidth="1"/>
    <col min="2057" max="2057" width="26.33203125" style="451" customWidth="1"/>
    <col min="2058" max="2059" width="24.33203125" style="451" customWidth="1"/>
    <col min="2060" max="2060" width="8.88671875" style="451" customWidth="1"/>
    <col min="2061" max="2061" width="10" style="451" customWidth="1"/>
    <col min="2062" max="2062" width="14.33203125" style="451" customWidth="1"/>
    <col min="2063" max="2304" width="9.109375" style="451"/>
    <col min="2305" max="2305" width="4.6640625" style="451" customWidth="1"/>
    <col min="2306" max="2306" width="30.88671875" style="451" customWidth="1"/>
    <col min="2307" max="2307" width="25" style="451" customWidth="1"/>
    <col min="2308" max="2308" width="32.6640625" style="451" customWidth="1"/>
    <col min="2309" max="2309" width="9.5546875" style="451" customWidth="1"/>
    <col min="2310" max="2310" width="17.44140625" style="451" customWidth="1"/>
    <col min="2311" max="2312" width="23.5546875" style="451" customWidth="1"/>
    <col min="2313" max="2313" width="26.33203125" style="451" customWidth="1"/>
    <col min="2314" max="2315" width="24.33203125" style="451" customWidth="1"/>
    <col min="2316" max="2316" width="8.88671875" style="451" customWidth="1"/>
    <col min="2317" max="2317" width="10" style="451" customWidth="1"/>
    <col min="2318" max="2318" width="14.33203125" style="451" customWidth="1"/>
    <col min="2319" max="2560" width="9.109375" style="451"/>
    <col min="2561" max="2561" width="4.6640625" style="451" customWidth="1"/>
    <col min="2562" max="2562" width="30.88671875" style="451" customWidth="1"/>
    <col min="2563" max="2563" width="25" style="451" customWidth="1"/>
    <col min="2564" max="2564" width="32.6640625" style="451" customWidth="1"/>
    <col min="2565" max="2565" width="9.5546875" style="451" customWidth="1"/>
    <col min="2566" max="2566" width="17.44140625" style="451" customWidth="1"/>
    <col min="2567" max="2568" width="23.5546875" style="451" customWidth="1"/>
    <col min="2569" max="2569" width="26.33203125" style="451" customWidth="1"/>
    <col min="2570" max="2571" width="24.33203125" style="451" customWidth="1"/>
    <col min="2572" max="2572" width="8.88671875" style="451" customWidth="1"/>
    <col min="2573" max="2573" width="10" style="451" customWidth="1"/>
    <col min="2574" max="2574" width="14.33203125" style="451" customWidth="1"/>
    <col min="2575" max="2816" width="9.109375" style="451"/>
    <col min="2817" max="2817" width="4.6640625" style="451" customWidth="1"/>
    <col min="2818" max="2818" width="30.88671875" style="451" customWidth="1"/>
    <col min="2819" max="2819" width="25" style="451" customWidth="1"/>
    <col min="2820" max="2820" width="32.6640625" style="451" customWidth="1"/>
    <col min="2821" max="2821" width="9.5546875" style="451" customWidth="1"/>
    <col min="2822" max="2822" width="17.44140625" style="451" customWidth="1"/>
    <col min="2823" max="2824" width="23.5546875" style="451" customWidth="1"/>
    <col min="2825" max="2825" width="26.33203125" style="451" customWidth="1"/>
    <col min="2826" max="2827" width="24.33203125" style="451" customWidth="1"/>
    <col min="2828" max="2828" width="8.88671875" style="451" customWidth="1"/>
    <col min="2829" max="2829" width="10" style="451" customWidth="1"/>
    <col min="2830" max="2830" width="14.33203125" style="451" customWidth="1"/>
    <col min="2831" max="3072" width="9.109375" style="451"/>
    <col min="3073" max="3073" width="4.6640625" style="451" customWidth="1"/>
    <col min="3074" max="3074" width="30.88671875" style="451" customWidth="1"/>
    <col min="3075" max="3075" width="25" style="451" customWidth="1"/>
    <col min="3076" max="3076" width="32.6640625" style="451" customWidth="1"/>
    <col min="3077" max="3077" width="9.5546875" style="451" customWidth="1"/>
    <col min="3078" max="3078" width="17.44140625" style="451" customWidth="1"/>
    <col min="3079" max="3080" width="23.5546875" style="451" customWidth="1"/>
    <col min="3081" max="3081" width="26.33203125" style="451" customWidth="1"/>
    <col min="3082" max="3083" width="24.33203125" style="451" customWidth="1"/>
    <col min="3084" max="3084" width="8.88671875" style="451" customWidth="1"/>
    <col min="3085" max="3085" width="10" style="451" customWidth="1"/>
    <col min="3086" max="3086" width="14.33203125" style="451" customWidth="1"/>
    <col min="3087" max="3328" width="9.109375" style="451"/>
    <col min="3329" max="3329" width="4.6640625" style="451" customWidth="1"/>
    <col min="3330" max="3330" width="30.88671875" style="451" customWidth="1"/>
    <col min="3331" max="3331" width="25" style="451" customWidth="1"/>
    <col min="3332" max="3332" width="32.6640625" style="451" customWidth="1"/>
    <col min="3333" max="3333" width="9.5546875" style="451" customWidth="1"/>
    <col min="3334" max="3334" width="17.44140625" style="451" customWidth="1"/>
    <col min="3335" max="3336" width="23.5546875" style="451" customWidth="1"/>
    <col min="3337" max="3337" width="26.33203125" style="451" customWidth="1"/>
    <col min="3338" max="3339" width="24.33203125" style="451" customWidth="1"/>
    <col min="3340" max="3340" width="8.88671875" style="451" customWidth="1"/>
    <col min="3341" max="3341" width="10" style="451" customWidth="1"/>
    <col min="3342" max="3342" width="14.33203125" style="451" customWidth="1"/>
    <col min="3343" max="3584" width="9.109375" style="451"/>
    <col min="3585" max="3585" width="4.6640625" style="451" customWidth="1"/>
    <col min="3586" max="3586" width="30.88671875" style="451" customWidth="1"/>
    <col min="3587" max="3587" width="25" style="451" customWidth="1"/>
    <col min="3588" max="3588" width="32.6640625" style="451" customWidth="1"/>
    <col min="3589" max="3589" width="9.5546875" style="451" customWidth="1"/>
    <col min="3590" max="3590" width="17.44140625" style="451" customWidth="1"/>
    <col min="3591" max="3592" width="23.5546875" style="451" customWidth="1"/>
    <col min="3593" max="3593" width="26.33203125" style="451" customWidth="1"/>
    <col min="3594" max="3595" width="24.33203125" style="451" customWidth="1"/>
    <col min="3596" max="3596" width="8.88671875" style="451" customWidth="1"/>
    <col min="3597" max="3597" width="10" style="451" customWidth="1"/>
    <col min="3598" max="3598" width="14.33203125" style="451" customWidth="1"/>
    <col min="3599" max="3840" width="9.109375" style="451"/>
    <col min="3841" max="3841" width="4.6640625" style="451" customWidth="1"/>
    <col min="3842" max="3842" width="30.88671875" style="451" customWidth="1"/>
    <col min="3843" max="3843" width="25" style="451" customWidth="1"/>
    <col min="3844" max="3844" width="32.6640625" style="451" customWidth="1"/>
    <col min="3845" max="3845" width="9.5546875" style="451" customWidth="1"/>
    <col min="3846" max="3846" width="17.44140625" style="451" customWidth="1"/>
    <col min="3847" max="3848" width="23.5546875" style="451" customWidth="1"/>
    <col min="3849" max="3849" width="26.33203125" style="451" customWidth="1"/>
    <col min="3850" max="3851" width="24.33203125" style="451" customWidth="1"/>
    <col min="3852" max="3852" width="8.88671875" style="451" customWidth="1"/>
    <col min="3853" max="3853" width="10" style="451" customWidth="1"/>
    <col min="3854" max="3854" width="14.33203125" style="451" customWidth="1"/>
    <col min="3855" max="4096" width="9.109375" style="451"/>
    <col min="4097" max="4097" width="4.6640625" style="451" customWidth="1"/>
    <col min="4098" max="4098" width="30.88671875" style="451" customWidth="1"/>
    <col min="4099" max="4099" width="25" style="451" customWidth="1"/>
    <col min="4100" max="4100" width="32.6640625" style="451" customWidth="1"/>
    <col min="4101" max="4101" width="9.5546875" style="451" customWidth="1"/>
    <col min="4102" max="4102" width="17.44140625" style="451" customWidth="1"/>
    <col min="4103" max="4104" width="23.5546875" style="451" customWidth="1"/>
    <col min="4105" max="4105" width="26.33203125" style="451" customWidth="1"/>
    <col min="4106" max="4107" width="24.33203125" style="451" customWidth="1"/>
    <col min="4108" max="4108" width="8.88671875" style="451" customWidth="1"/>
    <col min="4109" max="4109" width="10" style="451" customWidth="1"/>
    <col min="4110" max="4110" width="14.33203125" style="451" customWidth="1"/>
    <col min="4111" max="4352" width="9.109375" style="451"/>
    <col min="4353" max="4353" width="4.6640625" style="451" customWidth="1"/>
    <col min="4354" max="4354" width="30.88671875" style="451" customWidth="1"/>
    <col min="4355" max="4355" width="25" style="451" customWidth="1"/>
    <col min="4356" max="4356" width="32.6640625" style="451" customWidth="1"/>
    <col min="4357" max="4357" width="9.5546875" style="451" customWidth="1"/>
    <col min="4358" max="4358" width="17.44140625" style="451" customWidth="1"/>
    <col min="4359" max="4360" width="23.5546875" style="451" customWidth="1"/>
    <col min="4361" max="4361" width="26.33203125" style="451" customWidth="1"/>
    <col min="4362" max="4363" width="24.33203125" style="451" customWidth="1"/>
    <col min="4364" max="4364" width="8.88671875" style="451" customWidth="1"/>
    <col min="4365" max="4365" width="10" style="451" customWidth="1"/>
    <col min="4366" max="4366" width="14.33203125" style="451" customWidth="1"/>
    <col min="4367" max="4608" width="9.109375" style="451"/>
    <col min="4609" max="4609" width="4.6640625" style="451" customWidth="1"/>
    <col min="4610" max="4610" width="30.88671875" style="451" customWidth="1"/>
    <col min="4611" max="4611" width="25" style="451" customWidth="1"/>
    <col min="4612" max="4612" width="32.6640625" style="451" customWidth="1"/>
    <col min="4613" max="4613" width="9.5546875" style="451" customWidth="1"/>
    <col min="4614" max="4614" width="17.44140625" style="451" customWidth="1"/>
    <col min="4615" max="4616" width="23.5546875" style="451" customWidth="1"/>
    <col min="4617" max="4617" width="26.33203125" style="451" customWidth="1"/>
    <col min="4618" max="4619" width="24.33203125" style="451" customWidth="1"/>
    <col min="4620" max="4620" width="8.88671875" style="451" customWidth="1"/>
    <col min="4621" max="4621" width="10" style="451" customWidth="1"/>
    <col min="4622" max="4622" width="14.33203125" style="451" customWidth="1"/>
    <col min="4623" max="4864" width="9.109375" style="451"/>
    <col min="4865" max="4865" width="4.6640625" style="451" customWidth="1"/>
    <col min="4866" max="4866" width="30.88671875" style="451" customWidth="1"/>
    <col min="4867" max="4867" width="25" style="451" customWidth="1"/>
    <col min="4868" max="4868" width="32.6640625" style="451" customWidth="1"/>
    <col min="4869" max="4869" width="9.5546875" style="451" customWidth="1"/>
    <col min="4870" max="4870" width="17.44140625" style="451" customWidth="1"/>
    <col min="4871" max="4872" width="23.5546875" style="451" customWidth="1"/>
    <col min="4873" max="4873" width="26.33203125" style="451" customWidth="1"/>
    <col min="4874" max="4875" width="24.33203125" style="451" customWidth="1"/>
    <col min="4876" max="4876" width="8.88671875" style="451" customWidth="1"/>
    <col min="4877" max="4877" width="10" style="451" customWidth="1"/>
    <col min="4878" max="4878" width="14.33203125" style="451" customWidth="1"/>
    <col min="4879" max="5120" width="9.109375" style="451"/>
    <col min="5121" max="5121" width="4.6640625" style="451" customWidth="1"/>
    <col min="5122" max="5122" width="30.88671875" style="451" customWidth="1"/>
    <col min="5123" max="5123" width="25" style="451" customWidth="1"/>
    <col min="5124" max="5124" width="32.6640625" style="451" customWidth="1"/>
    <col min="5125" max="5125" width="9.5546875" style="451" customWidth="1"/>
    <col min="5126" max="5126" width="17.44140625" style="451" customWidth="1"/>
    <col min="5127" max="5128" width="23.5546875" style="451" customWidth="1"/>
    <col min="5129" max="5129" width="26.33203125" style="451" customWidth="1"/>
    <col min="5130" max="5131" width="24.33203125" style="451" customWidth="1"/>
    <col min="5132" max="5132" width="8.88671875" style="451" customWidth="1"/>
    <col min="5133" max="5133" width="10" style="451" customWidth="1"/>
    <col min="5134" max="5134" width="14.33203125" style="451" customWidth="1"/>
    <col min="5135" max="5376" width="9.109375" style="451"/>
    <col min="5377" max="5377" width="4.6640625" style="451" customWidth="1"/>
    <col min="5378" max="5378" width="30.88671875" style="451" customWidth="1"/>
    <col min="5379" max="5379" width="25" style="451" customWidth="1"/>
    <col min="5380" max="5380" width="32.6640625" style="451" customWidth="1"/>
    <col min="5381" max="5381" width="9.5546875" style="451" customWidth="1"/>
    <col min="5382" max="5382" width="17.44140625" style="451" customWidth="1"/>
    <col min="5383" max="5384" width="23.5546875" style="451" customWidth="1"/>
    <col min="5385" max="5385" width="26.33203125" style="451" customWidth="1"/>
    <col min="5386" max="5387" width="24.33203125" style="451" customWidth="1"/>
    <col min="5388" max="5388" width="8.88671875" style="451" customWidth="1"/>
    <col min="5389" max="5389" width="10" style="451" customWidth="1"/>
    <col min="5390" max="5390" width="14.33203125" style="451" customWidth="1"/>
    <col min="5391" max="5632" width="9.109375" style="451"/>
    <col min="5633" max="5633" width="4.6640625" style="451" customWidth="1"/>
    <col min="5634" max="5634" width="30.88671875" style="451" customWidth="1"/>
    <col min="5635" max="5635" width="25" style="451" customWidth="1"/>
    <col min="5636" max="5636" width="32.6640625" style="451" customWidth="1"/>
    <col min="5637" max="5637" width="9.5546875" style="451" customWidth="1"/>
    <col min="5638" max="5638" width="17.44140625" style="451" customWidth="1"/>
    <col min="5639" max="5640" width="23.5546875" style="451" customWidth="1"/>
    <col min="5641" max="5641" width="26.33203125" style="451" customWidth="1"/>
    <col min="5642" max="5643" width="24.33203125" style="451" customWidth="1"/>
    <col min="5644" max="5644" width="8.88671875" style="451" customWidth="1"/>
    <col min="5645" max="5645" width="10" style="451" customWidth="1"/>
    <col min="5646" max="5646" width="14.33203125" style="451" customWidth="1"/>
    <col min="5647" max="5888" width="9.109375" style="451"/>
    <col min="5889" max="5889" width="4.6640625" style="451" customWidth="1"/>
    <col min="5890" max="5890" width="30.88671875" style="451" customWidth="1"/>
    <col min="5891" max="5891" width="25" style="451" customWidth="1"/>
    <col min="5892" max="5892" width="32.6640625" style="451" customWidth="1"/>
    <col min="5893" max="5893" width="9.5546875" style="451" customWidth="1"/>
    <col min="5894" max="5894" width="17.44140625" style="451" customWidth="1"/>
    <col min="5895" max="5896" width="23.5546875" style="451" customWidth="1"/>
    <col min="5897" max="5897" width="26.33203125" style="451" customWidth="1"/>
    <col min="5898" max="5899" width="24.33203125" style="451" customWidth="1"/>
    <col min="5900" max="5900" width="8.88671875" style="451" customWidth="1"/>
    <col min="5901" max="5901" width="10" style="451" customWidth="1"/>
    <col min="5902" max="5902" width="14.33203125" style="451" customWidth="1"/>
    <col min="5903" max="6144" width="9.109375" style="451"/>
    <col min="6145" max="6145" width="4.6640625" style="451" customWidth="1"/>
    <col min="6146" max="6146" width="30.88671875" style="451" customWidth="1"/>
    <col min="6147" max="6147" width="25" style="451" customWidth="1"/>
    <col min="6148" max="6148" width="32.6640625" style="451" customWidth="1"/>
    <col min="6149" max="6149" width="9.5546875" style="451" customWidth="1"/>
    <col min="6150" max="6150" width="17.44140625" style="451" customWidth="1"/>
    <col min="6151" max="6152" width="23.5546875" style="451" customWidth="1"/>
    <col min="6153" max="6153" width="26.33203125" style="451" customWidth="1"/>
    <col min="6154" max="6155" width="24.33203125" style="451" customWidth="1"/>
    <col min="6156" max="6156" width="8.88671875" style="451" customWidth="1"/>
    <col min="6157" max="6157" width="10" style="451" customWidth="1"/>
    <col min="6158" max="6158" width="14.33203125" style="451" customWidth="1"/>
    <col min="6159" max="6400" width="9.109375" style="451"/>
    <col min="6401" max="6401" width="4.6640625" style="451" customWidth="1"/>
    <col min="6402" max="6402" width="30.88671875" style="451" customWidth="1"/>
    <col min="6403" max="6403" width="25" style="451" customWidth="1"/>
    <col min="6404" max="6404" width="32.6640625" style="451" customWidth="1"/>
    <col min="6405" max="6405" width="9.5546875" style="451" customWidth="1"/>
    <col min="6406" max="6406" width="17.44140625" style="451" customWidth="1"/>
    <col min="6407" max="6408" width="23.5546875" style="451" customWidth="1"/>
    <col min="6409" max="6409" width="26.33203125" style="451" customWidth="1"/>
    <col min="6410" max="6411" width="24.33203125" style="451" customWidth="1"/>
    <col min="6412" max="6412" width="8.88671875" style="451" customWidth="1"/>
    <col min="6413" max="6413" width="10" style="451" customWidth="1"/>
    <col min="6414" max="6414" width="14.33203125" style="451" customWidth="1"/>
    <col min="6415" max="6656" width="9.109375" style="451"/>
    <col min="6657" max="6657" width="4.6640625" style="451" customWidth="1"/>
    <col min="6658" max="6658" width="30.88671875" style="451" customWidth="1"/>
    <col min="6659" max="6659" width="25" style="451" customWidth="1"/>
    <col min="6660" max="6660" width="32.6640625" style="451" customWidth="1"/>
    <col min="6661" max="6661" width="9.5546875" style="451" customWidth="1"/>
    <col min="6662" max="6662" width="17.44140625" style="451" customWidth="1"/>
    <col min="6663" max="6664" width="23.5546875" style="451" customWidth="1"/>
    <col min="6665" max="6665" width="26.33203125" style="451" customWidth="1"/>
    <col min="6666" max="6667" width="24.33203125" style="451" customWidth="1"/>
    <col min="6668" max="6668" width="8.88671875" style="451" customWidth="1"/>
    <col min="6669" max="6669" width="10" style="451" customWidth="1"/>
    <col min="6670" max="6670" width="14.33203125" style="451" customWidth="1"/>
    <col min="6671" max="6912" width="9.109375" style="451"/>
    <col min="6913" max="6913" width="4.6640625" style="451" customWidth="1"/>
    <col min="6914" max="6914" width="30.88671875" style="451" customWidth="1"/>
    <col min="6915" max="6915" width="25" style="451" customWidth="1"/>
    <col min="6916" max="6916" width="32.6640625" style="451" customWidth="1"/>
    <col min="6917" max="6917" width="9.5546875" style="451" customWidth="1"/>
    <col min="6918" max="6918" width="17.44140625" style="451" customWidth="1"/>
    <col min="6919" max="6920" width="23.5546875" style="451" customWidth="1"/>
    <col min="6921" max="6921" width="26.33203125" style="451" customWidth="1"/>
    <col min="6922" max="6923" width="24.33203125" style="451" customWidth="1"/>
    <col min="6924" max="6924" width="8.88671875" style="451" customWidth="1"/>
    <col min="6925" max="6925" width="10" style="451" customWidth="1"/>
    <col min="6926" max="6926" width="14.33203125" style="451" customWidth="1"/>
    <col min="6927" max="7168" width="9.109375" style="451"/>
    <col min="7169" max="7169" width="4.6640625" style="451" customWidth="1"/>
    <col min="7170" max="7170" width="30.88671875" style="451" customWidth="1"/>
    <col min="7171" max="7171" width="25" style="451" customWidth="1"/>
    <col min="7172" max="7172" width="32.6640625" style="451" customWidth="1"/>
    <col min="7173" max="7173" width="9.5546875" style="451" customWidth="1"/>
    <col min="7174" max="7174" width="17.44140625" style="451" customWidth="1"/>
    <col min="7175" max="7176" width="23.5546875" style="451" customWidth="1"/>
    <col min="7177" max="7177" width="26.33203125" style="451" customWidth="1"/>
    <col min="7178" max="7179" width="24.33203125" style="451" customWidth="1"/>
    <col min="7180" max="7180" width="8.88671875" style="451" customWidth="1"/>
    <col min="7181" max="7181" width="10" style="451" customWidth="1"/>
    <col min="7182" max="7182" width="14.33203125" style="451" customWidth="1"/>
    <col min="7183" max="7424" width="9.109375" style="451"/>
    <col min="7425" max="7425" width="4.6640625" style="451" customWidth="1"/>
    <col min="7426" max="7426" width="30.88671875" style="451" customWidth="1"/>
    <col min="7427" max="7427" width="25" style="451" customWidth="1"/>
    <col min="7428" max="7428" width="32.6640625" style="451" customWidth="1"/>
    <col min="7429" max="7429" width="9.5546875" style="451" customWidth="1"/>
    <col min="7430" max="7430" width="17.44140625" style="451" customWidth="1"/>
    <col min="7431" max="7432" width="23.5546875" style="451" customWidth="1"/>
    <col min="7433" max="7433" width="26.33203125" style="451" customWidth="1"/>
    <col min="7434" max="7435" width="24.33203125" style="451" customWidth="1"/>
    <col min="7436" max="7436" width="8.88671875" style="451" customWidth="1"/>
    <col min="7437" max="7437" width="10" style="451" customWidth="1"/>
    <col min="7438" max="7438" width="14.33203125" style="451" customWidth="1"/>
    <col min="7439" max="7680" width="9.109375" style="451"/>
    <col min="7681" max="7681" width="4.6640625" style="451" customWidth="1"/>
    <col min="7682" max="7682" width="30.88671875" style="451" customWidth="1"/>
    <col min="7683" max="7683" width="25" style="451" customWidth="1"/>
    <col min="7684" max="7684" width="32.6640625" style="451" customWidth="1"/>
    <col min="7685" max="7685" width="9.5546875" style="451" customWidth="1"/>
    <col min="7686" max="7686" width="17.44140625" style="451" customWidth="1"/>
    <col min="7687" max="7688" width="23.5546875" style="451" customWidth="1"/>
    <col min="7689" max="7689" width="26.33203125" style="451" customWidth="1"/>
    <col min="7690" max="7691" width="24.33203125" style="451" customWidth="1"/>
    <col min="7692" max="7692" width="8.88671875" style="451" customWidth="1"/>
    <col min="7693" max="7693" width="10" style="451" customWidth="1"/>
    <col min="7694" max="7694" width="14.33203125" style="451" customWidth="1"/>
    <col min="7695" max="7936" width="9.109375" style="451"/>
    <col min="7937" max="7937" width="4.6640625" style="451" customWidth="1"/>
    <col min="7938" max="7938" width="30.88671875" style="451" customWidth="1"/>
    <col min="7939" max="7939" width="25" style="451" customWidth="1"/>
    <col min="7940" max="7940" width="32.6640625" style="451" customWidth="1"/>
    <col min="7941" max="7941" width="9.5546875" style="451" customWidth="1"/>
    <col min="7942" max="7942" width="17.44140625" style="451" customWidth="1"/>
    <col min="7943" max="7944" width="23.5546875" style="451" customWidth="1"/>
    <col min="7945" max="7945" width="26.33203125" style="451" customWidth="1"/>
    <col min="7946" max="7947" width="24.33203125" style="451" customWidth="1"/>
    <col min="7948" max="7948" width="8.88671875" style="451" customWidth="1"/>
    <col min="7949" max="7949" width="10" style="451" customWidth="1"/>
    <col min="7950" max="7950" width="14.33203125" style="451" customWidth="1"/>
    <col min="7951" max="8192" width="9.109375" style="451"/>
    <col min="8193" max="8193" width="4.6640625" style="451" customWidth="1"/>
    <col min="8194" max="8194" width="30.88671875" style="451" customWidth="1"/>
    <col min="8195" max="8195" width="25" style="451" customWidth="1"/>
    <col min="8196" max="8196" width="32.6640625" style="451" customWidth="1"/>
    <col min="8197" max="8197" width="9.5546875" style="451" customWidth="1"/>
    <col min="8198" max="8198" width="17.44140625" style="451" customWidth="1"/>
    <col min="8199" max="8200" width="23.5546875" style="451" customWidth="1"/>
    <col min="8201" max="8201" width="26.33203125" style="451" customWidth="1"/>
    <col min="8202" max="8203" width="24.33203125" style="451" customWidth="1"/>
    <col min="8204" max="8204" width="8.88671875" style="451" customWidth="1"/>
    <col min="8205" max="8205" width="10" style="451" customWidth="1"/>
    <col min="8206" max="8206" width="14.33203125" style="451" customWidth="1"/>
    <col min="8207" max="8448" width="9.109375" style="451"/>
    <col min="8449" max="8449" width="4.6640625" style="451" customWidth="1"/>
    <col min="8450" max="8450" width="30.88671875" style="451" customWidth="1"/>
    <col min="8451" max="8451" width="25" style="451" customWidth="1"/>
    <col min="8452" max="8452" width="32.6640625" style="451" customWidth="1"/>
    <col min="8453" max="8453" width="9.5546875" style="451" customWidth="1"/>
    <col min="8454" max="8454" width="17.44140625" style="451" customWidth="1"/>
    <col min="8455" max="8456" width="23.5546875" style="451" customWidth="1"/>
    <col min="8457" max="8457" width="26.33203125" style="451" customWidth="1"/>
    <col min="8458" max="8459" width="24.33203125" style="451" customWidth="1"/>
    <col min="8460" max="8460" width="8.88671875" style="451" customWidth="1"/>
    <col min="8461" max="8461" width="10" style="451" customWidth="1"/>
    <col min="8462" max="8462" width="14.33203125" style="451" customWidth="1"/>
    <col min="8463" max="8704" width="9.109375" style="451"/>
    <col min="8705" max="8705" width="4.6640625" style="451" customWidth="1"/>
    <col min="8706" max="8706" width="30.88671875" style="451" customWidth="1"/>
    <col min="8707" max="8707" width="25" style="451" customWidth="1"/>
    <col min="8708" max="8708" width="32.6640625" style="451" customWidth="1"/>
    <col min="8709" max="8709" width="9.5546875" style="451" customWidth="1"/>
    <col min="8710" max="8710" width="17.44140625" style="451" customWidth="1"/>
    <col min="8711" max="8712" width="23.5546875" style="451" customWidth="1"/>
    <col min="8713" max="8713" width="26.33203125" style="451" customWidth="1"/>
    <col min="8714" max="8715" width="24.33203125" style="451" customWidth="1"/>
    <col min="8716" max="8716" width="8.88671875" style="451" customWidth="1"/>
    <col min="8717" max="8717" width="10" style="451" customWidth="1"/>
    <col min="8718" max="8718" width="14.33203125" style="451" customWidth="1"/>
    <col min="8719" max="8960" width="9.109375" style="451"/>
    <col min="8961" max="8961" width="4.6640625" style="451" customWidth="1"/>
    <col min="8962" max="8962" width="30.88671875" style="451" customWidth="1"/>
    <col min="8963" max="8963" width="25" style="451" customWidth="1"/>
    <col min="8964" max="8964" width="32.6640625" style="451" customWidth="1"/>
    <col min="8965" max="8965" width="9.5546875" style="451" customWidth="1"/>
    <col min="8966" max="8966" width="17.44140625" style="451" customWidth="1"/>
    <col min="8967" max="8968" width="23.5546875" style="451" customWidth="1"/>
    <col min="8969" max="8969" width="26.33203125" style="451" customWidth="1"/>
    <col min="8970" max="8971" width="24.33203125" style="451" customWidth="1"/>
    <col min="8972" max="8972" width="8.88671875" style="451" customWidth="1"/>
    <col min="8973" max="8973" width="10" style="451" customWidth="1"/>
    <col min="8974" max="8974" width="14.33203125" style="451" customWidth="1"/>
    <col min="8975" max="9216" width="9.109375" style="451"/>
    <col min="9217" max="9217" width="4.6640625" style="451" customWidth="1"/>
    <col min="9218" max="9218" width="30.88671875" style="451" customWidth="1"/>
    <col min="9219" max="9219" width="25" style="451" customWidth="1"/>
    <col min="9220" max="9220" width="32.6640625" style="451" customWidth="1"/>
    <col min="9221" max="9221" width="9.5546875" style="451" customWidth="1"/>
    <col min="9222" max="9222" width="17.44140625" style="451" customWidth="1"/>
    <col min="9223" max="9224" width="23.5546875" style="451" customWidth="1"/>
    <col min="9225" max="9225" width="26.33203125" style="451" customWidth="1"/>
    <col min="9226" max="9227" width="24.33203125" style="451" customWidth="1"/>
    <col min="9228" max="9228" width="8.88671875" style="451" customWidth="1"/>
    <col min="9229" max="9229" width="10" style="451" customWidth="1"/>
    <col min="9230" max="9230" width="14.33203125" style="451" customWidth="1"/>
    <col min="9231" max="9472" width="9.109375" style="451"/>
    <col min="9473" max="9473" width="4.6640625" style="451" customWidth="1"/>
    <col min="9474" max="9474" width="30.88671875" style="451" customWidth="1"/>
    <col min="9475" max="9475" width="25" style="451" customWidth="1"/>
    <col min="9476" max="9476" width="32.6640625" style="451" customWidth="1"/>
    <col min="9477" max="9477" width="9.5546875" style="451" customWidth="1"/>
    <col min="9478" max="9478" width="17.44140625" style="451" customWidth="1"/>
    <col min="9479" max="9480" width="23.5546875" style="451" customWidth="1"/>
    <col min="9481" max="9481" width="26.33203125" style="451" customWidth="1"/>
    <col min="9482" max="9483" width="24.33203125" style="451" customWidth="1"/>
    <col min="9484" max="9484" width="8.88671875" style="451" customWidth="1"/>
    <col min="9485" max="9485" width="10" style="451" customWidth="1"/>
    <col min="9486" max="9486" width="14.33203125" style="451" customWidth="1"/>
    <col min="9487" max="9728" width="9.109375" style="451"/>
    <col min="9729" max="9729" width="4.6640625" style="451" customWidth="1"/>
    <col min="9730" max="9730" width="30.88671875" style="451" customWidth="1"/>
    <col min="9731" max="9731" width="25" style="451" customWidth="1"/>
    <col min="9732" max="9732" width="32.6640625" style="451" customWidth="1"/>
    <col min="9733" max="9733" width="9.5546875" style="451" customWidth="1"/>
    <col min="9734" max="9734" width="17.44140625" style="451" customWidth="1"/>
    <col min="9735" max="9736" width="23.5546875" style="451" customWidth="1"/>
    <col min="9737" max="9737" width="26.33203125" style="451" customWidth="1"/>
    <col min="9738" max="9739" width="24.33203125" style="451" customWidth="1"/>
    <col min="9740" max="9740" width="8.88671875" style="451" customWidth="1"/>
    <col min="9741" max="9741" width="10" style="451" customWidth="1"/>
    <col min="9742" max="9742" width="14.33203125" style="451" customWidth="1"/>
    <col min="9743" max="9984" width="9.109375" style="451"/>
    <col min="9985" max="9985" width="4.6640625" style="451" customWidth="1"/>
    <col min="9986" max="9986" width="30.88671875" style="451" customWidth="1"/>
    <col min="9987" max="9987" width="25" style="451" customWidth="1"/>
    <col min="9988" max="9988" width="32.6640625" style="451" customWidth="1"/>
    <col min="9989" max="9989" width="9.5546875" style="451" customWidth="1"/>
    <col min="9990" max="9990" width="17.44140625" style="451" customWidth="1"/>
    <col min="9991" max="9992" width="23.5546875" style="451" customWidth="1"/>
    <col min="9993" max="9993" width="26.33203125" style="451" customWidth="1"/>
    <col min="9994" max="9995" width="24.33203125" style="451" customWidth="1"/>
    <col min="9996" max="9996" width="8.88671875" style="451" customWidth="1"/>
    <col min="9997" max="9997" width="10" style="451" customWidth="1"/>
    <col min="9998" max="9998" width="14.33203125" style="451" customWidth="1"/>
    <col min="9999" max="10240" width="9.109375" style="451"/>
    <col min="10241" max="10241" width="4.6640625" style="451" customWidth="1"/>
    <col min="10242" max="10242" width="30.88671875" style="451" customWidth="1"/>
    <col min="10243" max="10243" width="25" style="451" customWidth="1"/>
    <col min="10244" max="10244" width="32.6640625" style="451" customWidth="1"/>
    <col min="10245" max="10245" width="9.5546875" style="451" customWidth="1"/>
    <col min="10246" max="10246" width="17.44140625" style="451" customWidth="1"/>
    <col min="10247" max="10248" width="23.5546875" style="451" customWidth="1"/>
    <col min="10249" max="10249" width="26.33203125" style="451" customWidth="1"/>
    <col min="10250" max="10251" width="24.33203125" style="451" customWidth="1"/>
    <col min="10252" max="10252" width="8.88671875" style="451" customWidth="1"/>
    <col min="10253" max="10253" width="10" style="451" customWidth="1"/>
    <col min="10254" max="10254" width="14.33203125" style="451" customWidth="1"/>
    <col min="10255" max="10496" width="9.109375" style="451"/>
    <col min="10497" max="10497" width="4.6640625" style="451" customWidth="1"/>
    <col min="10498" max="10498" width="30.88671875" style="451" customWidth="1"/>
    <col min="10499" max="10499" width="25" style="451" customWidth="1"/>
    <col min="10500" max="10500" width="32.6640625" style="451" customWidth="1"/>
    <col min="10501" max="10501" width="9.5546875" style="451" customWidth="1"/>
    <col min="10502" max="10502" width="17.44140625" style="451" customWidth="1"/>
    <col min="10503" max="10504" width="23.5546875" style="451" customWidth="1"/>
    <col min="10505" max="10505" width="26.33203125" style="451" customWidth="1"/>
    <col min="10506" max="10507" width="24.33203125" style="451" customWidth="1"/>
    <col min="10508" max="10508" width="8.88671875" style="451" customWidth="1"/>
    <col min="10509" max="10509" width="10" style="451" customWidth="1"/>
    <col min="10510" max="10510" width="14.33203125" style="451" customWidth="1"/>
    <col min="10511" max="10752" width="9.109375" style="451"/>
    <col min="10753" max="10753" width="4.6640625" style="451" customWidth="1"/>
    <col min="10754" max="10754" width="30.88671875" style="451" customWidth="1"/>
    <col min="10755" max="10755" width="25" style="451" customWidth="1"/>
    <col min="10756" max="10756" width="32.6640625" style="451" customWidth="1"/>
    <col min="10757" max="10757" width="9.5546875" style="451" customWidth="1"/>
    <col min="10758" max="10758" width="17.44140625" style="451" customWidth="1"/>
    <col min="10759" max="10760" width="23.5546875" style="451" customWidth="1"/>
    <col min="10761" max="10761" width="26.33203125" style="451" customWidth="1"/>
    <col min="10762" max="10763" width="24.33203125" style="451" customWidth="1"/>
    <col min="10764" max="10764" width="8.88671875" style="451" customWidth="1"/>
    <col min="10765" max="10765" width="10" style="451" customWidth="1"/>
    <col min="10766" max="10766" width="14.33203125" style="451" customWidth="1"/>
    <col min="10767" max="11008" width="9.109375" style="451"/>
    <col min="11009" max="11009" width="4.6640625" style="451" customWidth="1"/>
    <col min="11010" max="11010" width="30.88671875" style="451" customWidth="1"/>
    <col min="11011" max="11011" width="25" style="451" customWidth="1"/>
    <col min="11012" max="11012" width="32.6640625" style="451" customWidth="1"/>
    <col min="11013" max="11013" width="9.5546875" style="451" customWidth="1"/>
    <col min="11014" max="11014" width="17.44140625" style="451" customWidth="1"/>
    <col min="11015" max="11016" width="23.5546875" style="451" customWidth="1"/>
    <col min="11017" max="11017" width="26.33203125" style="451" customWidth="1"/>
    <col min="11018" max="11019" width="24.33203125" style="451" customWidth="1"/>
    <col min="11020" max="11020" width="8.88671875" style="451" customWidth="1"/>
    <col min="11021" max="11021" width="10" style="451" customWidth="1"/>
    <col min="11022" max="11022" width="14.33203125" style="451" customWidth="1"/>
    <col min="11023" max="11264" width="9.109375" style="451"/>
    <col min="11265" max="11265" width="4.6640625" style="451" customWidth="1"/>
    <col min="11266" max="11266" width="30.88671875" style="451" customWidth="1"/>
    <col min="11267" max="11267" width="25" style="451" customWidth="1"/>
    <col min="11268" max="11268" width="32.6640625" style="451" customWidth="1"/>
    <col min="11269" max="11269" width="9.5546875" style="451" customWidth="1"/>
    <col min="11270" max="11270" width="17.44140625" style="451" customWidth="1"/>
    <col min="11271" max="11272" width="23.5546875" style="451" customWidth="1"/>
    <col min="11273" max="11273" width="26.33203125" style="451" customWidth="1"/>
    <col min="11274" max="11275" width="24.33203125" style="451" customWidth="1"/>
    <col min="11276" max="11276" width="8.88671875" style="451" customWidth="1"/>
    <col min="11277" max="11277" width="10" style="451" customWidth="1"/>
    <col min="11278" max="11278" width="14.33203125" style="451" customWidth="1"/>
    <col min="11279" max="11520" width="9.109375" style="451"/>
    <col min="11521" max="11521" width="4.6640625" style="451" customWidth="1"/>
    <col min="11522" max="11522" width="30.88671875" style="451" customWidth="1"/>
    <col min="11523" max="11523" width="25" style="451" customWidth="1"/>
    <col min="11524" max="11524" width="32.6640625" style="451" customWidth="1"/>
    <col min="11525" max="11525" width="9.5546875" style="451" customWidth="1"/>
    <col min="11526" max="11526" width="17.44140625" style="451" customWidth="1"/>
    <col min="11527" max="11528" width="23.5546875" style="451" customWidth="1"/>
    <col min="11529" max="11529" width="26.33203125" style="451" customWidth="1"/>
    <col min="11530" max="11531" width="24.33203125" style="451" customWidth="1"/>
    <col min="11532" max="11532" width="8.88671875" style="451" customWidth="1"/>
    <col min="11533" max="11533" width="10" style="451" customWidth="1"/>
    <col min="11534" max="11534" width="14.33203125" style="451" customWidth="1"/>
    <col min="11535" max="11776" width="9.109375" style="451"/>
    <col min="11777" max="11777" width="4.6640625" style="451" customWidth="1"/>
    <col min="11778" max="11778" width="30.88671875" style="451" customWidth="1"/>
    <col min="11779" max="11779" width="25" style="451" customWidth="1"/>
    <col min="11780" max="11780" width="32.6640625" style="451" customWidth="1"/>
    <col min="11781" max="11781" width="9.5546875" style="451" customWidth="1"/>
    <col min="11782" max="11782" width="17.44140625" style="451" customWidth="1"/>
    <col min="11783" max="11784" width="23.5546875" style="451" customWidth="1"/>
    <col min="11785" max="11785" width="26.33203125" style="451" customWidth="1"/>
    <col min="11786" max="11787" width="24.33203125" style="451" customWidth="1"/>
    <col min="11788" max="11788" width="8.88671875" style="451" customWidth="1"/>
    <col min="11789" max="11789" width="10" style="451" customWidth="1"/>
    <col min="11790" max="11790" width="14.33203125" style="451" customWidth="1"/>
    <col min="11791" max="12032" width="9.109375" style="451"/>
    <col min="12033" max="12033" width="4.6640625" style="451" customWidth="1"/>
    <col min="12034" max="12034" width="30.88671875" style="451" customWidth="1"/>
    <col min="12035" max="12035" width="25" style="451" customWidth="1"/>
    <col min="12036" max="12036" width="32.6640625" style="451" customWidth="1"/>
    <col min="12037" max="12037" width="9.5546875" style="451" customWidth="1"/>
    <col min="12038" max="12038" width="17.44140625" style="451" customWidth="1"/>
    <col min="12039" max="12040" width="23.5546875" style="451" customWidth="1"/>
    <col min="12041" max="12041" width="26.33203125" style="451" customWidth="1"/>
    <col min="12042" max="12043" width="24.33203125" style="451" customWidth="1"/>
    <col min="12044" max="12044" width="8.88671875" style="451" customWidth="1"/>
    <col min="12045" max="12045" width="10" style="451" customWidth="1"/>
    <col min="12046" max="12046" width="14.33203125" style="451" customWidth="1"/>
    <col min="12047" max="12288" width="9.109375" style="451"/>
    <col min="12289" max="12289" width="4.6640625" style="451" customWidth="1"/>
    <col min="12290" max="12290" width="30.88671875" style="451" customWidth="1"/>
    <col min="12291" max="12291" width="25" style="451" customWidth="1"/>
    <col min="12292" max="12292" width="32.6640625" style="451" customWidth="1"/>
    <col min="12293" max="12293" width="9.5546875" style="451" customWidth="1"/>
    <col min="12294" max="12294" width="17.44140625" style="451" customWidth="1"/>
    <col min="12295" max="12296" width="23.5546875" style="451" customWidth="1"/>
    <col min="12297" max="12297" width="26.33203125" style="451" customWidth="1"/>
    <col min="12298" max="12299" width="24.33203125" style="451" customWidth="1"/>
    <col min="12300" max="12300" width="8.88671875" style="451" customWidth="1"/>
    <col min="12301" max="12301" width="10" style="451" customWidth="1"/>
    <col min="12302" max="12302" width="14.33203125" style="451" customWidth="1"/>
    <col min="12303" max="12544" width="9.109375" style="451"/>
    <col min="12545" max="12545" width="4.6640625" style="451" customWidth="1"/>
    <col min="12546" max="12546" width="30.88671875" style="451" customWidth="1"/>
    <col min="12547" max="12547" width="25" style="451" customWidth="1"/>
    <col min="12548" max="12548" width="32.6640625" style="451" customWidth="1"/>
    <col min="12549" max="12549" width="9.5546875" style="451" customWidth="1"/>
    <col min="12550" max="12550" width="17.44140625" style="451" customWidth="1"/>
    <col min="12551" max="12552" width="23.5546875" style="451" customWidth="1"/>
    <col min="12553" max="12553" width="26.33203125" style="451" customWidth="1"/>
    <col min="12554" max="12555" width="24.33203125" style="451" customWidth="1"/>
    <col min="12556" max="12556" width="8.88671875" style="451" customWidth="1"/>
    <col min="12557" max="12557" width="10" style="451" customWidth="1"/>
    <col min="12558" max="12558" width="14.33203125" style="451" customWidth="1"/>
    <col min="12559" max="12800" width="9.109375" style="451"/>
    <col min="12801" max="12801" width="4.6640625" style="451" customWidth="1"/>
    <col min="12802" max="12802" width="30.88671875" style="451" customWidth="1"/>
    <col min="12803" max="12803" width="25" style="451" customWidth="1"/>
    <col min="12804" max="12804" width="32.6640625" style="451" customWidth="1"/>
    <col min="12805" max="12805" width="9.5546875" style="451" customWidth="1"/>
    <col min="12806" max="12806" width="17.44140625" style="451" customWidth="1"/>
    <col min="12807" max="12808" width="23.5546875" style="451" customWidth="1"/>
    <col min="12809" max="12809" width="26.33203125" style="451" customWidth="1"/>
    <col min="12810" max="12811" width="24.33203125" style="451" customWidth="1"/>
    <col min="12812" max="12812" width="8.88671875" style="451" customWidth="1"/>
    <col min="12813" max="12813" width="10" style="451" customWidth="1"/>
    <col min="12814" max="12814" width="14.33203125" style="451" customWidth="1"/>
    <col min="12815" max="13056" width="9.109375" style="451"/>
    <col min="13057" max="13057" width="4.6640625" style="451" customWidth="1"/>
    <col min="13058" max="13058" width="30.88671875" style="451" customWidth="1"/>
    <col min="13059" max="13059" width="25" style="451" customWidth="1"/>
    <col min="13060" max="13060" width="32.6640625" style="451" customWidth="1"/>
    <col min="13061" max="13061" width="9.5546875" style="451" customWidth="1"/>
    <col min="13062" max="13062" width="17.44140625" style="451" customWidth="1"/>
    <col min="13063" max="13064" width="23.5546875" style="451" customWidth="1"/>
    <col min="13065" max="13065" width="26.33203125" style="451" customWidth="1"/>
    <col min="13066" max="13067" width="24.33203125" style="451" customWidth="1"/>
    <col min="13068" max="13068" width="8.88671875" style="451" customWidth="1"/>
    <col min="13069" max="13069" width="10" style="451" customWidth="1"/>
    <col min="13070" max="13070" width="14.33203125" style="451" customWidth="1"/>
    <col min="13071" max="13312" width="9.109375" style="451"/>
    <col min="13313" max="13313" width="4.6640625" style="451" customWidth="1"/>
    <col min="13314" max="13314" width="30.88671875" style="451" customWidth="1"/>
    <col min="13315" max="13315" width="25" style="451" customWidth="1"/>
    <col min="13316" max="13316" width="32.6640625" style="451" customWidth="1"/>
    <col min="13317" max="13317" width="9.5546875" style="451" customWidth="1"/>
    <col min="13318" max="13318" width="17.44140625" style="451" customWidth="1"/>
    <col min="13319" max="13320" width="23.5546875" style="451" customWidth="1"/>
    <col min="13321" max="13321" width="26.33203125" style="451" customWidth="1"/>
    <col min="13322" max="13323" width="24.33203125" style="451" customWidth="1"/>
    <col min="13324" max="13324" width="8.88671875" style="451" customWidth="1"/>
    <col min="13325" max="13325" width="10" style="451" customWidth="1"/>
    <col min="13326" max="13326" width="14.33203125" style="451" customWidth="1"/>
    <col min="13327" max="13568" width="9.109375" style="451"/>
    <col min="13569" max="13569" width="4.6640625" style="451" customWidth="1"/>
    <col min="13570" max="13570" width="30.88671875" style="451" customWidth="1"/>
    <col min="13571" max="13571" width="25" style="451" customWidth="1"/>
    <col min="13572" max="13572" width="32.6640625" style="451" customWidth="1"/>
    <col min="13573" max="13573" width="9.5546875" style="451" customWidth="1"/>
    <col min="13574" max="13574" width="17.44140625" style="451" customWidth="1"/>
    <col min="13575" max="13576" width="23.5546875" style="451" customWidth="1"/>
    <col min="13577" max="13577" width="26.33203125" style="451" customWidth="1"/>
    <col min="13578" max="13579" width="24.33203125" style="451" customWidth="1"/>
    <col min="13580" max="13580" width="8.88671875" style="451" customWidth="1"/>
    <col min="13581" max="13581" width="10" style="451" customWidth="1"/>
    <col min="13582" max="13582" width="14.33203125" style="451" customWidth="1"/>
    <col min="13583" max="13824" width="9.109375" style="451"/>
    <col min="13825" max="13825" width="4.6640625" style="451" customWidth="1"/>
    <col min="13826" max="13826" width="30.88671875" style="451" customWidth="1"/>
    <col min="13827" max="13827" width="25" style="451" customWidth="1"/>
    <col min="13828" max="13828" width="32.6640625" style="451" customWidth="1"/>
    <col min="13829" max="13829" width="9.5546875" style="451" customWidth="1"/>
    <col min="13830" max="13830" width="17.44140625" style="451" customWidth="1"/>
    <col min="13831" max="13832" width="23.5546875" style="451" customWidth="1"/>
    <col min="13833" max="13833" width="26.33203125" style="451" customWidth="1"/>
    <col min="13834" max="13835" width="24.33203125" style="451" customWidth="1"/>
    <col min="13836" max="13836" width="8.88671875" style="451" customWidth="1"/>
    <col min="13837" max="13837" width="10" style="451" customWidth="1"/>
    <col min="13838" max="13838" width="14.33203125" style="451" customWidth="1"/>
    <col min="13839" max="14080" width="9.109375" style="451"/>
    <col min="14081" max="14081" width="4.6640625" style="451" customWidth="1"/>
    <col min="14082" max="14082" width="30.88671875" style="451" customWidth="1"/>
    <col min="14083" max="14083" width="25" style="451" customWidth="1"/>
    <col min="14084" max="14084" width="32.6640625" style="451" customWidth="1"/>
    <col min="14085" max="14085" width="9.5546875" style="451" customWidth="1"/>
    <col min="14086" max="14086" width="17.44140625" style="451" customWidth="1"/>
    <col min="14087" max="14088" width="23.5546875" style="451" customWidth="1"/>
    <col min="14089" max="14089" width="26.33203125" style="451" customWidth="1"/>
    <col min="14090" max="14091" width="24.33203125" style="451" customWidth="1"/>
    <col min="14092" max="14092" width="8.88671875" style="451" customWidth="1"/>
    <col min="14093" max="14093" width="10" style="451" customWidth="1"/>
    <col min="14094" max="14094" width="14.33203125" style="451" customWidth="1"/>
    <col min="14095" max="14336" width="9.109375" style="451"/>
    <col min="14337" max="14337" width="4.6640625" style="451" customWidth="1"/>
    <col min="14338" max="14338" width="30.88671875" style="451" customWidth="1"/>
    <col min="14339" max="14339" width="25" style="451" customWidth="1"/>
    <col min="14340" max="14340" width="32.6640625" style="451" customWidth="1"/>
    <col min="14341" max="14341" width="9.5546875" style="451" customWidth="1"/>
    <col min="14342" max="14342" width="17.44140625" style="451" customWidth="1"/>
    <col min="14343" max="14344" width="23.5546875" style="451" customWidth="1"/>
    <col min="14345" max="14345" width="26.33203125" style="451" customWidth="1"/>
    <col min="14346" max="14347" width="24.33203125" style="451" customWidth="1"/>
    <col min="14348" max="14348" width="8.88671875" style="451" customWidth="1"/>
    <col min="14349" max="14349" width="10" style="451" customWidth="1"/>
    <col min="14350" max="14350" width="14.33203125" style="451" customWidth="1"/>
    <col min="14351" max="14592" width="9.109375" style="451"/>
    <col min="14593" max="14593" width="4.6640625" style="451" customWidth="1"/>
    <col min="14594" max="14594" width="30.88671875" style="451" customWidth="1"/>
    <col min="14595" max="14595" width="25" style="451" customWidth="1"/>
    <col min="14596" max="14596" width="32.6640625" style="451" customWidth="1"/>
    <col min="14597" max="14597" width="9.5546875" style="451" customWidth="1"/>
    <col min="14598" max="14598" width="17.44140625" style="451" customWidth="1"/>
    <col min="14599" max="14600" width="23.5546875" style="451" customWidth="1"/>
    <col min="14601" max="14601" width="26.33203125" style="451" customWidth="1"/>
    <col min="14602" max="14603" width="24.33203125" style="451" customWidth="1"/>
    <col min="14604" max="14604" width="8.88671875" style="451" customWidth="1"/>
    <col min="14605" max="14605" width="10" style="451" customWidth="1"/>
    <col min="14606" max="14606" width="14.33203125" style="451" customWidth="1"/>
    <col min="14607" max="14848" width="9.109375" style="451"/>
    <col min="14849" max="14849" width="4.6640625" style="451" customWidth="1"/>
    <col min="14850" max="14850" width="30.88671875" style="451" customWidth="1"/>
    <col min="14851" max="14851" width="25" style="451" customWidth="1"/>
    <col min="14852" max="14852" width="32.6640625" style="451" customWidth="1"/>
    <col min="14853" max="14853" width="9.5546875" style="451" customWidth="1"/>
    <col min="14854" max="14854" width="17.44140625" style="451" customWidth="1"/>
    <col min="14855" max="14856" width="23.5546875" style="451" customWidth="1"/>
    <col min="14857" max="14857" width="26.33203125" style="451" customWidth="1"/>
    <col min="14858" max="14859" width="24.33203125" style="451" customWidth="1"/>
    <col min="14860" max="14860" width="8.88671875" style="451" customWidth="1"/>
    <col min="14861" max="14861" width="10" style="451" customWidth="1"/>
    <col min="14862" max="14862" width="14.33203125" style="451" customWidth="1"/>
    <col min="14863" max="15104" width="9.109375" style="451"/>
    <col min="15105" max="15105" width="4.6640625" style="451" customWidth="1"/>
    <col min="15106" max="15106" width="30.88671875" style="451" customWidth="1"/>
    <col min="15107" max="15107" width="25" style="451" customWidth="1"/>
    <col min="15108" max="15108" width="32.6640625" style="451" customWidth="1"/>
    <col min="15109" max="15109" width="9.5546875" style="451" customWidth="1"/>
    <col min="15110" max="15110" width="17.44140625" style="451" customWidth="1"/>
    <col min="15111" max="15112" width="23.5546875" style="451" customWidth="1"/>
    <col min="15113" max="15113" width="26.33203125" style="451" customWidth="1"/>
    <col min="15114" max="15115" width="24.33203125" style="451" customWidth="1"/>
    <col min="15116" max="15116" width="8.88671875" style="451" customWidth="1"/>
    <col min="15117" max="15117" width="10" style="451" customWidth="1"/>
    <col min="15118" max="15118" width="14.33203125" style="451" customWidth="1"/>
    <col min="15119" max="15360" width="9.109375" style="451"/>
    <col min="15361" max="15361" width="4.6640625" style="451" customWidth="1"/>
    <col min="15362" max="15362" width="30.88671875" style="451" customWidth="1"/>
    <col min="15363" max="15363" width="25" style="451" customWidth="1"/>
    <col min="15364" max="15364" width="32.6640625" style="451" customWidth="1"/>
    <col min="15365" max="15365" width="9.5546875" style="451" customWidth="1"/>
    <col min="15366" max="15366" width="17.44140625" style="451" customWidth="1"/>
    <col min="15367" max="15368" width="23.5546875" style="451" customWidth="1"/>
    <col min="15369" max="15369" width="26.33203125" style="451" customWidth="1"/>
    <col min="15370" max="15371" width="24.33203125" style="451" customWidth="1"/>
    <col min="15372" max="15372" width="8.88671875" style="451" customWidth="1"/>
    <col min="15373" max="15373" width="10" style="451" customWidth="1"/>
    <col min="15374" max="15374" width="14.33203125" style="451" customWidth="1"/>
    <col min="15375" max="15616" width="9.109375" style="451"/>
    <col min="15617" max="15617" width="4.6640625" style="451" customWidth="1"/>
    <col min="15618" max="15618" width="30.88671875" style="451" customWidth="1"/>
    <col min="15619" max="15619" width="25" style="451" customWidth="1"/>
    <col min="15620" max="15620" width="32.6640625" style="451" customWidth="1"/>
    <col min="15621" max="15621" width="9.5546875" style="451" customWidth="1"/>
    <col min="15622" max="15622" width="17.44140625" style="451" customWidth="1"/>
    <col min="15623" max="15624" width="23.5546875" style="451" customWidth="1"/>
    <col min="15625" max="15625" width="26.33203125" style="451" customWidth="1"/>
    <col min="15626" max="15627" width="24.33203125" style="451" customWidth="1"/>
    <col min="15628" max="15628" width="8.88671875" style="451" customWidth="1"/>
    <col min="15629" max="15629" width="10" style="451" customWidth="1"/>
    <col min="15630" max="15630" width="14.33203125" style="451" customWidth="1"/>
    <col min="15631" max="15872" width="9.109375" style="451"/>
    <col min="15873" max="15873" width="4.6640625" style="451" customWidth="1"/>
    <col min="15874" max="15874" width="30.88671875" style="451" customWidth="1"/>
    <col min="15875" max="15875" width="25" style="451" customWidth="1"/>
    <col min="15876" max="15876" width="32.6640625" style="451" customWidth="1"/>
    <col min="15877" max="15877" width="9.5546875" style="451" customWidth="1"/>
    <col min="15878" max="15878" width="17.44140625" style="451" customWidth="1"/>
    <col min="15879" max="15880" width="23.5546875" style="451" customWidth="1"/>
    <col min="15881" max="15881" width="26.33203125" style="451" customWidth="1"/>
    <col min="15882" max="15883" width="24.33203125" style="451" customWidth="1"/>
    <col min="15884" max="15884" width="8.88671875" style="451" customWidth="1"/>
    <col min="15885" max="15885" width="10" style="451" customWidth="1"/>
    <col min="15886" max="15886" width="14.33203125" style="451" customWidth="1"/>
    <col min="15887" max="16128" width="9.109375" style="451"/>
    <col min="16129" max="16129" width="4.6640625" style="451" customWidth="1"/>
    <col min="16130" max="16130" width="30.88671875" style="451" customWidth="1"/>
    <col min="16131" max="16131" width="25" style="451" customWidth="1"/>
    <col min="16132" max="16132" width="32.6640625" style="451" customWidth="1"/>
    <col min="16133" max="16133" width="9.5546875" style="451" customWidth="1"/>
    <col min="16134" max="16134" width="17.44140625" style="451" customWidth="1"/>
    <col min="16135" max="16136" width="23.5546875" style="451" customWidth="1"/>
    <col min="16137" max="16137" width="26.33203125" style="451" customWidth="1"/>
    <col min="16138" max="16139" width="24.33203125" style="451" customWidth="1"/>
    <col min="16140" max="16140" width="8.88671875" style="451" customWidth="1"/>
    <col min="16141" max="16141" width="10" style="451" customWidth="1"/>
    <col min="16142" max="16142" width="14.33203125" style="451" customWidth="1"/>
    <col min="16143" max="16384" width="9.109375" style="451"/>
  </cols>
  <sheetData>
    <row r="1" spans="1:31" ht="13.8" thickBot="1" x14ac:dyDescent="0.3">
      <c r="A1" s="646" t="s">
        <v>580</v>
      </c>
      <c r="B1" s="647"/>
      <c r="C1" s="647"/>
      <c r="D1" s="665"/>
      <c r="AA1" s="650" t="s">
        <v>532</v>
      </c>
      <c r="AB1" s="651"/>
      <c r="AC1" s="50"/>
      <c r="AD1" s="652" t="s">
        <v>533</v>
      </c>
      <c r="AE1" s="653"/>
    </row>
    <row r="2" spans="1:31" ht="13.2" x14ac:dyDescent="0.25">
      <c r="A2" s="648"/>
      <c r="B2" s="649"/>
      <c r="C2" s="649"/>
      <c r="D2" s="666"/>
      <c r="AA2" s="455"/>
      <c r="AB2" s="456"/>
      <c r="AC2" s="50"/>
      <c r="AD2" s="457"/>
      <c r="AE2" s="458"/>
    </row>
    <row r="3" spans="1:31" ht="13.8" thickBot="1" x14ac:dyDescent="0.3">
      <c r="A3" s="654"/>
      <c r="B3" s="655"/>
      <c r="C3" s="655"/>
      <c r="D3" s="667"/>
      <c r="AA3" s="455"/>
      <c r="AB3" s="456"/>
      <c r="AC3" s="50"/>
      <c r="AD3" s="457"/>
      <c r="AE3" s="458"/>
    </row>
    <row r="4" spans="1:31" ht="13.2" x14ac:dyDescent="0.25">
      <c r="A4" s="646" t="str">
        <f>'Identificar riscos'!A4</f>
        <v>Fidelize</v>
      </c>
      <c r="B4" s="647"/>
      <c r="C4" s="647"/>
      <c r="D4" s="665"/>
      <c r="AA4" s="455"/>
      <c r="AB4" s="456"/>
      <c r="AC4" s="50"/>
      <c r="AD4" s="457"/>
      <c r="AE4" s="458"/>
    </row>
    <row r="5" spans="1:31" ht="27" thickBot="1" x14ac:dyDescent="0.3">
      <c r="A5" s="654"/>
      <c r="B5" s="655"/>
      <c r="C5" s="655"/>
      <c r="D5" s="667"/>
      <c r="E5" s="451"/>
      <c r="AA5" s="463" t="s">
        <v>534</v>
      </c>
      <c r="AB5" s="464">
        <v>1</v>
      </c>
      <c r="AC5" s="50"/>
      <c r="AD5" s="463" t="s">
        <v>535</v>
      </c>
      <c r="AE5" s="464">
        <v>1</v>
      </c>
    </row>
    <row r="6" spans="1:31" ht="27" customHeight="1" thickBot="1" x14ac:dyDescent="0.3">
      <c r="A6" s="656" t="s">
        <v>536</v>
      </c>
      <c r="B6" s="658" t="s">
        <v>538</v>
      </c>
      <c r="C6" s="659"/>
      <c r="D6" s="660"/>
      <c r="E6" s="466"/>
      <c r="F6" s="668" t="s">
        <v>581</v>
      </c>
      <c r="G6" s="668" t="s">
        <v>582</v>
      </c>
      <c r="H6" s="668" t="s">
        <v>583</v>
      </c>
      <c r="I6" s="668" t="s">
        <v>584</v>
      </c>
      <c r="J6" s="663" t="s">
        <v>585</v>
      </c>
      <c r="AA6" s="467" t="s">
        <v>540</v>
      </c>
      <c r="AB6" s="468">
        <v>2</v>
      </c>
      <c r="AC6" s="50"/>
      <c r="AD6" s="467" t="s">
        <v>541</v>
      </c>
      <c r="AE6" s="468">
        <v>2</v>
      </c>
    </row>
    <row r="7" spans="1:31" s="473" customFormat="1" ht="52.5" customHeight="1" thickBot="1" x14ac:dyDescent="0.3">
      <c r="A7" s="657"/>
      <c r="B7" s="470" t="s">
        <v>544</v>
      </c>
      <c r="C7" s="470" t="s">
        <v>545</v>
      </c>
      <c r="D7" s="471" t="s">
        <v>586</v>
      </c>
      <c r="E7" s="472" t="s">
        <v>547</v>
      </c>
      <c r="F7" s="669"/>
      <c r="G7" s="669"/>
      <c r="H7" s="669"/>
      <c r="I7" s="670"/>
      <c r="J7" s="664"/>
      <c r="AA7" s="467" t="s">
        <v>548</v>
      </c>
      <c r="AB7" s="468">
        <v>3</v>
      </c>
      <c r="AC7" s="50"/>
      <c r="AD7" s="467" t="s">
        <v>549</v>
      </c>
      <c r="AE7" s="468">
        <v>3</v>
      </c>
    </row>
    <row r="8" spans="1:31" ht="40.799999999999997" x14ac:dyDescent="0.25">
      <c r="A8" s="474" t="str">
        <f>IF('Identificar riscos'!A8&lt;&gt;"",'Identificar riscos'!A8,"")</f>
        <v>R01</v>
      </c>
      <c r="B8" s="474" t="str">
        <f>IF('Identificar riscos'!D9&lt;&gt;"",'Identificar riscos'!D8,"")</f>
        <v>Qualidade insatisfatória ou a presença de lacunas/inconsistências na base de dados fictícia do Kit Cannoli.</v>
      </c>
      <c r="C8" s="474" t="str">
        <f>IF('Identificar riscos'!E8&lt;&gt;"",'Identificar riscos'!E8,"")</f>
        <v>Comprometimento da acurácia dos modelos de IA/ML (Alertas e Previsões).</v>
      </c>
      <c r="D8" s="474" t="str">
        <f>IF('Identificar riscos'!F8&lt;&gt;"",'Identificar riscos'!F8,"")</f>
        <v>Falha na entrega de insights confiáveis, resultando em apoio estratégico inadequado para a Cannoli.</v>
      </c>
      <c r="E8" s="475" t="s">
        <v>556</v>
      </c>
      <c r="F8" s="486">
        <v>10000</v>
      </c>
      <c r="G8" s="487">
        <v>5</v>
      </c>
      <c r="H8" s="487" t="s">
        <v>587</v>
      </c>
      <c r="I8" s="488" t="s">
        <v>588</v>
      </c>
      <c r="J8" s="488" t="s">
        <v>589</v>
      </c>
      <c r="AA8" s="479" t="s">
        <v>557</v>
      </c>
      <c r="AB8" s="480">
        <v>4</v>
      </c>
      <c r="AC8" s="481"/>
      <c r="AD8" s="479" t="s">
        <v>558</v>
      </c>
      <c r="AE8" s="480">
        <v>4</v>
      </c>
    </row>
    <row r="9" spans="1:31" ht="61.2" x14ac:dyDescent="0.25">
      <c r="A9" s="474" t="str">
        <f>IF('Identificar riscos'!A9&lt;&gt;"",'Identificar riscos'!A9,"")</f>
        <v>R02</v>
      </c>
      <c r="B9" s="474" t="str">
        <f>IF('Identificar riscos'!D9&lt;&gt;"",'Identificar riscos'!D9,"")</f>
        <v>Uso de um modelo simplificado (como Regressão Linear) ou entrada de variáveis defasadas para a funcionalidade de Previsão de Desempenho.</v>
      </c>
      <c r="C9" s="474" t="str">
        <f>IF('Identificar riscos'!E9&lt;&gt;"",'Identificar riscos'!E9,"")</f>
        <v>O modelo de previsão apresentará um erro médio (MAE/RMSE) inaceitável, falhando em estimar valores futuros.</v>
      </c>
      <c r="D9" s="474" t="str">
        <f>IF('Identificar riscos'!F9&lt;&gt;"",'Identificar riscos'!F9,"")</f>
        <v>A previsão será inadequada para apoiar decisões, exigindo o retrabalho do módulo ou sua exclusão do produto final.</v>
      </c>
      <c r="E9" s="475" t="s">
        <v>565</v>
      </c>
      <c r="F9" s="486">
        <v>10000</v>
      </c>
      <c r="G9" s="487">
        <v>5</v>
      </c>
      <c r="H9" s="487" t="s">
        <v>587</v>
      </c>
      <c r="I9" s="488" t="s">
        <v>590</v>
      </c>
      <c r="J9" s="488" t="s">
        <v>591</v>
      </c>
    </row>
    <row r="10" spans="1:31" ht="51" x14ac:dyDescent="0.25">
      <c r="A10" s="474" t="str">
        <f>IF('Identificar riscos'!A10&lt;&gt;"",'Identificar riscos'!A10,"")</f>
        <v>R03</v>
      </c>
      <c r="B10" s="474" t="str">
        <f>IF('Identificar riscos'!D10&lt;&gt;"",'Identificar riscos'!D10,"")</f>
        <v>Falha ao implementar controles robustos de segurança e privacidade dos dados.</v>
      </c>
      <c r="C10" s="474" t="str">
        <f>IF('Identificar riscos'!E10&lt;&gt;"",'Identificar riscos'!E10,"")</f>
        <v>Ocorrência de vazamento ou violação de dados de Customer, Order ou Campaign.</v>
      </c>
      <c r="D10" s="474" t="str">
        <f>IF('Identificar riscos'!F10&lt;&gt;"",'Identificar riscos'!F10,"")</f>
        <v>Violação de requisitos não funcionais de segurança, acarretando perda de confiança ou exposição de dados anonimizados.</v>
      </c>
      <c r="E10" s="475" t="s">
        <v>572</v>
      </c>
      <c r="F10" s="486">
        <v>40000</v>
      </c>
      <c r="G10" s="487">
        <v>30</v>
      </c>
      <c r="H10" s="487" t="s">
        <v>592</v>
      </c>
      <c r="I10" s="488" t="s">
        <v>593</v>
      </c>
      <c r="J10" s="488" t="s">
        <v>594</v>
      </c>
    </row>
    <row r="11" spans="1:31" ht="51" x14ac:dyDescent="0.25">
      <c r="A11" s="474" t="str">
        <f>IF('Identificar riscos'!A11&lt;&gt;"",'Identificar riscos'!A11,"")</f>
        <v>R04</v>
      </c>
      <c r="B11" s="474" t="str">
        <f>IF('Identificar riscos'!D11&lt;&gt;"",'Identificar riscos'!D11,"")</f>
        <v>Atrasos na entrega de módulos chave, como o Módulo de Pedidos e Canais de Venda, que possuem um prazo específico (23/08/2025 a 02/09/2025).</v>
      </c>
      <c r="C11" s="474" t="str">
        <f>IF('Identificar riscos'!E11&lt;&gt;"",'Identificar riscos'!E11,"")</f>
        <v>O projeto excede as datas de entrega (22/set, 10/nov, 17/11, 25/11).</v>
      </c>
      <c r="D11" s="474" t="str">
        <f>IF('Identificar riscos'!F11&lt;&gt;"",'Identificar riscos'!F11,"")</f>
        <v>O Sistema Final não estará pronto para as apresentações/entregáveis.</v>
      </c>
      <c r="E11" s="475" t="s">
        <v>579</v>
      </c>
      <c r="F11" s="486">
        <v>25000</v>
      </c>
      <c r="G11" s="487" t="s">
        <v>595</v>
      </c>
      <c r="H11" s="487" t="s">
        <v>587</v>
      </c>
      <c r="I11" s="488" t="s">
        <v>596</v>
      </c>
      <c r="J11" s="488" t="s">
        <v>597</v>
      </c>
    </row>
    <row r="12" spans="1:31" x14ac:dyDescent="0.25">
      <c r="C12" s="451"/>
      <c r="E12" s="451"/>
      <c r="G12" s="451"/>
      <c r="H12" s="451"/>
      <c r="I12" s="451"/>
    </row>
    <row r="13" spans="1:31" x14ac:dyDescent="0.25">
      <c r="C13" s="451"/>
      <c r="E13" s="451"/>
      <c r="G13" s="451"/>
      <c r="H13" s="451"/>
      <c r="I13" s="451"/>
    </row>
    <row r="14" spans="1:31" x14ac:dyDescent="0.25">
      <c r="C14" s="451"/>
      <c r="E14" s="451"/>
      <c r="G14" s="451"/>
      <c r="H14" s="451"/>
      <c r="I14" s="451"/>
    </row>
    <row r="15" spans="1:31" x14ac:dyDescent="0.25">
      <c r="C15" s="451"/>
      <c r="E15" s="451"/>
      <c r="G15" s="451"/>
      <c r="H15" s="451"/>
      <c r="I15" s="451"/>
    </row>
    <row r="16" spans="1:31" x14ac:dyDescent="0.25">
      <c r="C16" s="451"/>
      <c r="E16" s="451"/>
      <c r="G16" s="451"/>
      <c r="H16" s="451"/>
      <c r="I16" s="451"/>
    </row>
    <row r="17" s="451" customFormat="1" x14ac:dyDescent="0.25"/>
    <row r="18" s="451" customFormat="1" x14ac:dyDescent="0.25"/>
    <row r="19" s="451" customFormat="1" x14ac:dyDescent="0.25"/>
    <row r="20" s="451" customFormat="1" x14ac:dyDescent="0.25"/>
    <row r="21" s="451" customFormat="1" x14ac:dyDescent="0.25"/>
    <row r="22" s="451" customFormat="1" x14ac:dyDescent="0.25"/>
    <row r="23" s="451" customFormat="1" x14ac:dyDescent="0.25"/>
    <row r="24" s="451" customFormat="1" x14ac:dyDescent="0.25"/>
    <row r="25" s="451" customFormat="1" x14ac:dyDescent="0.25"/>
    <row r="26" s="451" customFormat="1" x14ac:dyDescent="0.25"/>
    <row r="27" s="451" customFormat="1" x14ac:dyDescent="0.25"/>
    <row r="28" s="451" customFormat="1" x14ac:dyDescent="0.25"/>
    <row r="29" s="451" customFormat="1" x14ac:dyDescent="0.25"/>
    <row r="30" s="451" customFormat="1" x14ac:dyDescent="0.25"/>
    <row r="31" s="451" customFormat="1" x14ac:dyDescent="0.25"/>
    <row r="32" s="451" customFormat="1" x14ac:dyDescent="0.25"/>
  </sheetData>
  <autoFilter ref="A6:E11" xr:uid="{0284E39A-19B3-48F9-A9A2-BDC5ACD7F82A}">
    <filterColumn colId="1" showButton="0"/>
    <filterColumn colId="2" showButton="0"/>
  </autoFilter>
  <mergeCells count="11">
    <mergeCell ref="J6:J7"/>
    <mergeCell ref="A1:D3"/>
    <mergeCell ref="AA1:AB1"/>
    <mergeCell ref="AD1:AE1"/>
    <mergeCell ref="A4:D5"/>
    <mergeCell ref="A6:A7"/>
    <mergeCell ref="B6:D6"/>
    <mergeCell ref="F6:F7"/>
    <mergeCell ref="G6:G7"/>
    <mergeCell ref="H6:H7"/>
    <mergeCell ref="I6:I7"/>
  </mergeCells>
  <pageMargins left="0.59055118110236227" right="0.59055118110236227" top="0.59055118110236227" bottom="0.59055118110236227" header="0.51181102362204722" footer="0.51181102362204722"/>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5E2EB-3444-4919-ABBB-0F48C3667151}">
  <sheetPr codeName="Plan2">
    <pageSetUpPr fitToPage="1"/>
  </sheetPr>
  <dimension ref="A1:AI35"/>
  <sheetViews>
    <sheetView showGridLines="0" zoomScale="82" zoomScaleNormal="100" workbookViewId="0">
      <pane xSplit="5" ySplit="7" topLeftCell="F8" activePane="bottomRight" state="frozen"/>
      <selection activeCell="F20" sqref="F20"/>
      <selection pane="topRight" activeCell="F20" sqref="F20"/>
      <selection pane="bottomLeft" activeCell="F20" sqref="F20"/>
      <selection pane="bottomRight" activeCell="I11" sqref="I11"/>
    </sheetView>
  </sheetViews>
  <sheetFormatPr defaultColWidth="9.109375" defaultRowHeight="10.199999999999999" x14ac:dyDescent="0.25"/>
  <cols>
    <col min="1" max="1" width="4.6640625" style="451" customWidth="1"/>
    <col min="2" max="2" width="18.33203125" style="451" customWidth="1"/>
    <col min="3" max="3" width="17.6640625" style="485" customWidth="1"/>
    <col min="4" max="4" width="22.5546875" style="451" customWidth="1"/>
    <col min="5" max="5" width="9.5546875" style="452" customWidth="1"/>
    <col min="6" max="6" width="17.109375" style="485" customWidth="1"/>
    <col min="7" max="7" width="13.109375" style="452" customWidth="1"/>
    <col min="8" max="8" width="14.33203125" style="452" customWidth="1"/>
    <col min="9" max="9" width="10" style="452" customWidth="1"/>
    <col min="10" max="10" width="11.5546875" style="452" customWidth="1"/>
    <col min="11" max="11" width="11" style="451" customWidth="1"/>
    <col min="12" max="12" width="17.44140625" style="451" hidden="1" customWidth="1"/>
    <col min="13" max="13" width="11.6640625" style="451" customWidth="1"/>
    <col min="14" max="15" width="9.109375" style="451"/>
    <col min="16" max="16" width="8.88671875" style="451" customWidth="1"/>
    <col min="17" max="17" width="10" style="451" customWidth="1"/>
    <col min="18" max="18" width="14.33203125" style="451" customWidth="1"/>
    <col min="19" max="256" width="9.109375" style="451"/>
    <col min="257" max="257" width="4.6640625" style="451" customWidth="1"/>
    <col min="258" max="258" width="18.33203125" style="451" customWidth="1"/>
    <col min="259" max="259" width="17.6640625" style="451" customWidth="1"/>
    <col min="260" max="260" width="22.5546875" style="451" customWidth="1"/>
    <col min="261" max="261" width="9.5546875" style="451" customWidth="1"/>
    <col min="262" max="262" width="17.109375" style="451" customWidth="1"/>
    <col min="263" max="263" width="13.109375" style="451" customWidth="1"/>
    <col min="264" max="264" width="14.33203125" style="451" customWidth="1"/>
    <col min="265" max="265" width="10" style="451" customWidth="1"/>
    <col min="266" max="266" width="11.5546875" style="451" customWidth="1"/>
    <col min="267" max="267" width="11" style="451" customWidth="1"/>
    <col min="268" max="268" width="0" style="451" hidden="1" customWidth="1"/>
    <col min="269" max="269" width="11.6640625" style="451" customWidth="1"/>
    <col min="270" max="271" width="9.109375" style="451"/>
    <col min="272" max="272" width="8.88671875" style="451" customWidth="1"/>
    <col min="273" max="273" width="10" style="451" customWidth="1"/>
    <col min="274" max="274" width="14.33203125" style="451" customWidth="1"/>
    <col min="275" max="512" width="9.109375" style="451"/>
    <col min="513" max="513" width="4.6640625" style="451" customWidth="1"/>
    <col min="514" max="514" width="18.33203125" style="451" customWidth="1"/>
    <col min="515" max="515" width="17.6640625" style="451" customWidth="1"/>
    <col min="516" max="516" width="22.5546875" style="451" customWidth="1"/>
    <col min="517" max="517" width="9.5546875" style="451" customWidth="1"/>
    <col min="518" max="518" width="17.109375" style="451" customWidth="1"/>
    <col min="519" max="519" width="13.109375" style="451" customWidth="1"/>
    <col min="520" max="520" width="14.33203125" style="451" customWidth="1"/>
    <col min="521" max="521" width="10" style="451" customWidth="1"/>
    <col min="522" max="522" width="11.5546875" style="451" customWidth="1"/>
    <col min="523" max="523" width="11" style="451" customWidth="1"/>
    <col min="524" max="524" width="0" style="451" hidden="1" customWidth="1"/>
    <col min="525" max="525" width="11.6640625" style="451" customWidth="1"/>
    <col min="526" max="527" width="9.109375" style="451"/>
    <col min="528" max="528" width="8.88671875" style="451" customWidth="1"/>
    <col min="529" max="529" width="10" style="451" customWidth="1"/>
    <col min="530" max="530" width="14.33203125" style="451" customWidth="1"/>
    <col min="531" max="768" width="9.109375" style="451"/>
    <col min="769" max="769" width="4.6640625" style="451" customWidth="1"/>
    <col min="770" max="770" width="18.33203125" style="451" customWidth="1"/>
    <col min="771" max="771" width="17.6640625" style="451" customWidth="1"/>
    <col min="772" max="772" width="22.5546875" style="451" customWidth="1"/>
    <col min="773" max="773" width="9.5546875" style="451" customWidth="1"/>
    <col min="774" max="774" width="17.109375" style="451" customWidth="1"/>
    <col min="775" max="775" width="13.109375" style="451" customWidth="1"/>
    <col min="776" max="776" width="14.33203125" style="451" customWidth="1"/>
    <col min="777" max="777" width="10" style="451" customWidth="1"/>
    <col min="778" max="778" width="11.5546875" style="451" customWidth="1"/>
    <col min="779" max="779" width="11" style="451" customWidth="1"/>
    <col min="780" max="780" width="0" style="451" hidden="1" customWidth="1"/>
    <col min="781" max="781" width="11.6640625" style="451" customWidth="1"/>
    <col min="782" max="783" width="9.109375" style="451"/>
    <col min="784" max="784" width="8.88671875" style="451" customWidth="1"/>
    <col min="785" max="785" width="10" style="451" customWidth="1"/>
    <col min="786" max="786" width="14.33203125" style="451" customWidth="1"/>
    <col min="787" max="1024" width="9.109375" style="451"/>
    <col min="1025" max="1025" width="4.6640625" style="451" customWidth="1"/>
    <col min="1026" max="1026" width="18.33203125" style="451" customWidth="1"/>
    <col min="1027" max="1027" width="17.6640625" style="451" customWidth="1"/>
    <col min="1028" max="1028" width="22.5546875" style="451" customWidth="1"/>
    <col min="1029" max="1029" width="9.5546875" style="451" customWidth="1"/>
    <col min="1030" max="1030" width="17.109375" style="451" customWidth="1"/>
    <col min="1031" max="1031" width="13.109375" style="451" customWidth="1"/>
    <col min="1032" max="1032" width="14.33203125" style="451" customWidth="1"/>
    <col min="1033" max="1033" width="10" style="451" customWidth="1"/>
    <col min="1034" max="1034" width="11.5546875" style="451" customWidth="1"/>
    <col min="1035" max="1035" width="11" style="451" customWidth="1"/>
    <col min="1036" max="1036" width="0" style="451" hidden="1" customWidth="1"/>
    <col min="1037" max="1037" width="11.6640625" style="451" customWidth="1"/>
    <col min="1038" max="1039" width="9.109375" style="451"/>
    <col min="1040" max="1040" width="8.88671875" style="451" customWidth="1"/>
    <col min="1041" max="1041" width="10" style="451" customWidth="1"/>
    <col min="1042" max="1042" width="14.33203125" style="451" customWidth="1"/>
    <col min="1043" max="1280" width="9.109375" style="451"/>
    <col min="1281" max="1281" width="4.6640625" style="451" customWidth="1"/>
    <col min="1282" max="1282" width="18.33203125" style="451" customWidth="1"/>
    <col min="1283" max="1283" width="17.6640625" style="451" customWidth="1"/>
    <col min="1284" max="1284" width="22.5546875" style="451" customWidth="1"/>
    <col min="1285" max="1285" width="9.5546875" style="451" customWidth="1"/>
    <col min="1286" max="1286" width="17.109375" style="451" customWidth="1"/>
    <col min="1287" max="1287" width="13.109375" style="451" customWidth="1"/>
    <col min="1288" max="1288" width="14.33203125" style="451" customWidth="1"/>
    <col min="1289" max="1289" width="10" style="451" customWidth="1"/>
    <col min="1290" max="1290" width="11.5546875" style="451" customWidth="1"/>
    <col min="1291" max="1291" width="11" style="451" customWidth="1"/>
    <col min="1292" max="1292" width="0" style="451" hidden="1" customWidth="1"/>
    <col min="1293" max="1293" width="11.6640625" style="451" customWidth="1"/>
    <col min="1294" max="1295" width="9.109375" style="451"/>
    <col min="1296" max="1296" width="8.88671875" style="451" customWidth="1"/>
    <col min="1297" max="1297" width="10" style="451" customWidth="1"/>
    <col min="1298" max="1298" width="14.33203125" style="451" customWidth="1"/>
    <col min="1299" max="1536" width="9.109375" style="451"/>
    <col min="1537" max="1537" width="4.6640625" style="451" customWidth="1"/>
    <col min="1538" max="1538" width="18.33203125" style="451" customWidth="1"/>
    <col min="1539" max="1539" width="17.6640625" style="451" customWidth="1"/>
    <col min="1540" max="1540" width="22.5546875" style="451" customWidth="1"/>
    <col min="1541" max="1541" width="9.5546875" style="451" customWidth="1"/>
    <col min="1542" max="1542" width="17.109375" style="451" customWidth="1"/>
    <col min="1543" max="1543" width="13.109375" style="451" customWidth="1"/>
    <col min="1544" max="1544" width="14.33203125" style="451" customWidth="1"/>
    <col min="1545" max="1545" width="10" style="451" customWidth="1"/>
    <col min="1546" max="1546" width="11.5546875" style="451" customWidth="1"/>
    <col min="1547" max="1547" width="11" style="451" customWidth="1"/>
    <col min="1548" max="1548" width="0" style="451" hidden="1" customWidth="1"/>
    <col min="1549" max="1549" width="11.6640625" style="451" customWidth="1"/>
    <col min="1550" max="1551" width="9.109375" style="451"/>
    <col min="1552" max="1552" width="8.88671875" style="451" customWidth="1"/>
    <col min="1553" max="1553" width="10" style="451" customWidth="1"/>
    <col min="1554" max="1554" width="14.33203125" style="451" customWidth="1"/>
    <col min="1555" max="1792" width="9.109375" style="451"/>
    <col min="1793" max="1793" width="4.6640625" style="451" customWidth="1"/>
    <col min="1794" max="1794" width="18.33203125" style="451" customWidth="1"/>
    <col min="1795" max="1795" width="17.6640625" style="451" customWidth="1"/>
    <col min="1796" max="1796" width="22.5546875" style="451" customWidth="1"/>
    <col min="1797" max="1797" width="9.5546875" style="451" customWidth="1"/>
    <col min="1798" max="1798" width="17.109375" style="451" customWidth="1"/>
    <col min="1799" max="1799" width="13.109375" style="451" customWidth="1"/>
    <col min="1800" max="1800" width="14.33203125" style="451" customWidth="1"/>
    <col min="1801" max="1801" width="10" style="451" customWidth="1"/>
    <col min="1802" max="1802" width="11.5546875" style="451" customWidth="1"/>
    <col min="1803" max="1803" width="11" style="451" customWidth="1"/>
    <col min="1804" max="1804" width="0" style="451" hidden="1" customWidth="1"/>
    <col min="1805" max="1805" width="11.6640625" style="451" customWidth="1"/>
    <col min="1806" max="1807" width="9.109375" style="451"/>
    <col min="1808" max="1808" width="8.88671875" style="451" customWidth="1"/>
    <col min="1809" max="1809" width="10" style="451" customWidth="1"/>
    <col min="1810" max="1810" width="14.33203125" style="451" customWidth="1"/>
    <col min="1811" max="2048" width="9.109375" style="451"/>
    <col min="2049" max="2049" width="4.6640625" style="451" customWidth="1"/>
    <col min="2050" max="2050" width="18.33203125" style="451" customWidth="1"/>
    <col min="2051" max="2051" width="17.6640625" style="451" customWidth="1"/>
    <col min="2052" max="2052" width="22.5546875" style="451" customWidth="1"/>
    <col min="2053" max="2053" width="9.5546875" style="451" customWidth="1"/>
    <col min="2054" max="2054" width="17.109375" style="451" customWidth="1"/>
    <col min="2055" max="2055" width="13.109375" style="451" customWidth="1"/>
    <col min="2056" max="2056" width="14.33203125" style="451" customWidth="1"/>
    <col min="2057" max="2057" width="10" style="451" customWidth="1"/>
    <col min="2058" max="2058" width="11.5546875" style="451" customWidth="1"/>
    <col min="2059" max="2059" width="11" style="451" customWidth="1"/>
    <col min="2060" max="2060" width="0" style="451" hidden="1" customWidth="1"/>
    <col min="2061" max="2061" width="11.6640625" style="451" customWidth="1"/>
    <col min="2062" max="2063" width="9.109375" style="451"/>
    <col min="2064" max="2064" width="8.88671875" style="451" customWidth="1"/>
    <col min="2065" max="2065" width="10" style="451" customWidth="1"/>
    <col min="2066" max="2066" width="14.33203125" style="451" customWidth="1"/>
    <col min="2067" max="2304" width="9.109375" style="451"/>
    <col min="2305" max="2305" width="4.6640625" style="451" customWidth="1"/>
    <col min="2306" max="2306" width="18.33203125" style="451" customWidth="1"/>
    <col min="2307" max="2307" width="17.6640625" style="451" customWidth="1"/>
    <col min="2308" max="2308" width="22.5546875" style="451" customWidth="1"/>
    <col min="2309" max="2309" width="9.5546875" style="451" customWidth="1"/>
    <col min="2310" max="2310" width="17.109375" style="451" customWidth="1"/>
    <col min="2311" max="2311" width="13.109375" style="451" customWidth="1"/>
    <col min="2312" max="2312" width="14.33203125" style="451" customWidth="1"/>
    <col min="2313" max="2313" width="10" style="451" customWidth="1"/>
    <col min="2314" max="2314" width="11.5546875" style="451" customWidth="1"/>
    <col min="2315" max="2315" width="11" style="451" customWidth="1"/>
    <col min="2316" max="2316" width="0" style="451" hidden="1" customWidth="1"/>
    <col min="2317" max="2317" width="11.6640625" style="451" customWidth="1"/>
    <col min="2318" max="2319" width="9.109375" style="451"/>
    <col min="2320" max="2320" width="8.88671875" style="451" customWidth="1"/>
    <col min="2321" max="2321" width="10" style="451" customWidth="1"/>
    <col min="2322" max="2322" width="14.33203125" style="451" customWidth="1"/>
    <col min="2323" max="2560" width="9.109375" style="451"/>
    <col min="2561" max="2561" width="4.6640625" style="451" customWidth="1"/>
    <col min="2562" max="2562" width="18.33203125" style="451" customWidth="1"/>
    <col min="2563" max="2563" width="17.6640625" style="451" customWidth="1"/>
    <col min="2564" max="2564" width="22.5546875" style="451" customWidth="1"/>
    <col min="2565" max="2565" width="9.5546875" style="451" customWidth="1"/>
    <col min="2566" max="2566" width="17.109375" style="451" customWidth="1"/>
    <col min="2567" max="2567" width="13.109375" style="451" customWidth="1"/>
    <col min="2568" max="2568" width="14.33203125" style="451" customWidth="1"/>
    <col min="2569" max="2569" width="10" style="451" customWidth="1"/>
    <col min="2570" max="2570" width="11.5546875" style="451" customWidth="1"/>
    <col min="2571" max="2571" width="11" style="451" customWidth="1"/>
    <col min="2572" max="2572" width="0" style="451" hidden="1" customWidth="1"/>
    <col min="2573" max="2573" width="11.6640625" style="451" customWidth="1"/>
    <col min="2574" max="2575" width="9.109375" style="451"/>
    <col min="2576" max="2576" width="8.88671875" style="451" customWidth="1"/>
    <col min="2577" max="2577" width="10" style="451" customWidth="1"/>
    <col min="2578" max="2578" width="14.33203125" style="451" customWidth="1"/>
    <col min="2579" max="2816" width="9.109375" style="451"/>
    <col min="2817" max="2817" width="4.6640625" style="451" customWidth="1"/>
    <col min="2818" max="2818" width="18.33203125" style="451" customWidth="1"/>
    <col min="2819" max="2819" width="17.6640625" style="451" customWidth="1"/>
    <col min="2820" max="2820" width="22.5546875" style="451" customWidth="1"/>
    <col min="2821" max="2821" width="9.5546875" style="451" customWidth="1"/>
    <col min="2822" max="2822" width="17.109375" style="451" customWidth="1"/>
    <col min="2823" max="2823" width="13.109375" style="451" customWidth="1"/>
    <col min="2824" max="2824" width="14.33203125" style="451" customWidth="1"/>
    <col min="2825" max="2825" width="10" style="451" customWidth="1"/>
    <col min="2826" max="2826" width="11.5546875" style="451" customWidth="1"/>
    <col min="2827" max="2827" width="11" style="451" customWidth="1"/>
    <col min="2828" max="2828" width="0" style="451" hidden="1" customWidth="1"/>
    <col min="2829" max="2829" width="11.6640625" style="451" customWidth="1"/>
    <col min="2830" max="2831" width="9.109375" style="451"/>
    <col min="2832" max="2832" width="8.88671875" style="451" customWidth="1"/>
    <col min="2833" max="2833" width="10" style="451" customWidth="1"/>
    <col min="2834" max="2834" width="14.33203125" style="451" customWidth="1"/>
    <col min="2835" max="3072" width="9.109375" style="451"/>
    <col min="3073" max="3073" width="4.6640625" style="451" customWidth="1"/>
    <col min="3074" max="3074" width="18.33203125" style="451" customWidth="1"/>
    <col min="3075" max="3075" width="17.6640625" style="451" customWidth="1"/>
    <col min="3076" max="3076" width="22.5546875" style="451" customWidth="1"/>
    <col min="3077" max="3077" width="9.5546875" style="451" customWidth="1"/>
    <col min="3078" max="3078" width="17.109375" style="451" customWidth="1"/>
    <col min="3079" max="3079" width="13.109375" style="451" customWidth="1"/>
    <col min="3080" max="3080" width="14.33203125" style="451" customWidth="1"/>
    <col min="3081" max="3081" width="10" style="451" customWidth="1"/>
    <col min="3082" max="3082" width="11.5546875" style="451" customWidth="1"/>
    <col min="3083" max="3083" width="11" style="451" customWidth="1"/>
    <col min="3084" max="3084" width="0" style="451" hidden="1" customWidth="1"/>
    <col min="3085" max="3085" width="11.6640625" style="451" customWidth="1"/>
    <col min="3086" max="3087" width="9.109375" style="451"/>
    <col min="3088" max="3088" width="8.88671875" style="451" customWidth="1"/>
    <col min="3089" max="3089" width="10" style="451" customWidth="1"/>
    <col min="3090" max="3090" width="14.33203125" style="451" customWidth="1"/>
    <col min="3091" max="3328" width="9.109375" style="451"/>
    <col min="3329" max="3329" width="4.6640625" style="451" customWidth="1"/>
    <col min="3330" max="3330" width="18.33203125" style="451" customWidth="1"/>
    <col min="3331" max="3331" width="17.6640625" style="451" customWidth="1"/>
    <col min="3332" max="3332" width="22.5546875" style="451" customWidth="1"/>
    <col min="3333" max="3333" width="9.5546875" style="451" customWidth="1"/>
    <col min="3334" max="3334" width="17.109375" style="451" customWidth="1"/>
    <col min="3335" max="3335" width="13.109375" style="451" customWidth="1"/>
    <col min="3336" max="3336" width="14.33203125" style="451" customWidth="1"/>
    <col min="3337" max="3337" width="10" style="451" customWidth="1"/>
    <col min="3338" max="3338" width="11.5546875" style="451" customWidth="1"/>
    <col min="3339" max="3339" width="11" style="451" customWidth="1"/>
    <col min="3340" max="3340" width="0" style="451" hidden="1" customWidth="1"/>
    <col min="3341" max="3341" width="11.6640625" style="451" customWidth="1"/>
    <col min="3342" max="3343" width="9.109375" style="451"/>
    <col min="3344" max="3344" width="8.88671875" style="451" customWidth="1"/>
    <col min="3345" max="3345" width="10" style="451" customWidth="1"/>
    <col min="3346" max="3346" width="14.33203125" style="451" customWidth="1"/>
    <col min="3347" max="3584" width="9.109375" style="451"/>
    <col min="3585" max="3585" width="4.6640625" style="451" customWidth="1"/>
    <col min="3586" max="3586" width="18.33203125" style="451" customWidth="1"/>
    <col min="3587" max="3587" width="17.6640625" style="451" customWidth="1"/>
    <col min="3588" max="3588" width="22.5546875" style="451" customWidth="1"/>
    <col min="3589" max="3589" width="9.5546875" style="451" customWidth="1"/>
    <col min="3590" max="3590" width="17.109375" style="451" customWidth="1"/>
    <col min="3591" max="3591" width="13.109375" style="451" customWidth="1"/>
    <col min="3592" max="3592" width="14.33203125" style="451" customWidth="1"/>
    <col min="3593" max="3593" width="10" style="451" customWidth="1"/>
    <col min="3594" max="3594" width="11.5546875" style="451" customWidth="1"/>
    <col min="3595" max="3595" width="11" style="451" customWidth="1"/>
    <col min="3596" max="3596" width="0" style="451" hidden="1" customWidth="1"/>
    <col min="3597" max="3597" width="11.6640625" style="451" customWidth="1"/>
    <col min="3598" max="3599" width="9.109375" style="451"/>
    <col min="3600" max="3600" width="8.88671875" style="451" customWidth="1"/>
    <col min="3601" max="3601" width="10" style="451" customWidth="1"/>
    <col min="3602" max="3602" width="14.33203125" style="451" customWidth="1"/>
    <col min="3603" max="3840" width="9.109375" style="451"/>
    <col min="3841" max="3841" width="4.6640625" style="451" customWidth="1"/>
    <col min="3842" max="3842" width="18.33203125" style="451" customWidth="1"/>
    <col min="3843" max="3843" width="17.6640625" style="451" customWidth="1"/>
    <col min="3844" max="3844" width="22.5546875" style="451" customWidth="1"/>
    <col min="3845" max="3845" width="9.5546875" style="451" customWidth="1"/>
    <col min="3846" max="3846" width="17.109375" style="451" customWidth="1"/>
    <col min="3847" max="3847" width="13.109375" style="451" customWidth="1"/>
    <col min="3848" max="3848" width="14.33203125" style="451" customWidth="1"/>
    <col min="3849" max="3849" width="10" style="451" customWidth="1"/>
    <col min="3850" max="3850" width="11.5546875" style="451" customWidth="1"/>
    <col min="3851" max="3851" width="11" style="451" customWidth="1"/>
    <col min="3852" max="3852" width="0" style="451" hidden="1" customWidth="1"/>
    <col min="3853" max="3853" width="11.6640625" style="451" customWidth="1"/>
    <col min="3854" max="3855" width="9.109375" style="451"/>
    <col min="3856" max="3856" width="8.88671875" style="451" customWidth="1"/>
    <col min="3857" max="3857" width="10" style="451" customWidth="1"/>
    <col min="3858" max="3858" width="14.33203125" style="451" customWidth="1"/>
    <col min="3859" max="4096" width="9.109375" style="451"/>
    <col min="4097" max="4097" width="4.6640625" style="451" customWidth="1"/>
    <col min="4098" max="4098" width="18.33203125" style="451" customWidth="1"/>
    <col min="4099" max="4099" width="17.6640625" style="451" customWidth="1"/>
    <col min="4100" max="4100" width="22.5546875" style="451" customWidth="1"/>
    <col min="4101" max="4101" width="9.5546875" style="451" customWidth="1"/>
    <col min="4102" max="4102" width="17.109375" style="451" customWidth="1"/>
    <col min="4103" max="4103" width="13.109375" style="451" customWidth="1"/>
    <col min="4104" max="4104" width="14.33203125" style="451" customWidth="1"/>
    <col min="4105" max="4105" width="10" style="451" customWidth="1"/>
    <col min="4106" max="4106" width="11.5546875" style="451" customWidth="1"/>
    <col min="4107" max="4107" width="11" style="451" customWidth="1"/>
    <col min="4108" max="4108" width="0" style="451" hidden="1" customWidth="1"/>
    <col min="4109" max="4109" width="11.6640625" style="451" customWidth="1"/>
    <col min="4110" max="4111" width="9.109375" style="451"/>
    <col min="4112" max="4112" width="8.88671875" style="451" customWidth="1"/>
    <col min="4113" max="4113" width="10" style="451" customWidth="1"/>
    <col min="4114" max="4114" width="14.33203125" style="451" customWidth="1"/>
    <col min="4115" max="4352" width="9.109375" style="451"/>
    <col min="4353" max="4353" width="4.6640625" style="451" customWidth="1"/>
    <col min="4354" max="4354" width="18.33203125" style="451" customWidth="1"/>
    <col min="4355" max="4355" width="17.6640625" style="451" customWidth="1"/>
    <col min="4356" max="4356" width="22.5546875" style="451" customWidth="1"/>
    <col min="4357" max="4357" width="9.5546875" style="451" customWidth="1"/>
    <col min="4358" max="4358" width="17.109375" style="451" customWidth="1"/>
    <col min="4359" max="4359" width="13.109375" style="451" customWidth="1"/>
    <col min="4360" max="4360" width="14.33203125" style="451" customWidth="1"/>
    <col min="4361" max="4361" width="10" style="451" customWidth="1"/>
    <col min="4362" max="4362" width="11.5546875" style="451" customWidth="1"/>
    <col min="4363" max="4363" width="11" style="451" customWidth="1"/>
    <col min="4364" max="4364" width="0" style="451" hidden="1" customWidth="1"/>
    <col min="4365" max="4365" width="11.6640625" style="451" customWidth="1"/>
    <col min="4366" max="4367" width="9.109375" style="451"/>
    <col min="4368" max="4368" width="8.88671875" style="451" customWidth="1"/>
    <col min="4369" max="4369" width="10" style="451" customWidth="1"/>
    <col min="4370" max="4370" width="14.33203125" style="451" customWidth="1"/>
    <col min="4371" max="4608" width="9.109375" style="451"/>
    <col min="4609" max="4609" width="4.6640625" style="451" customWidth="1"/>
    <col min="4610" max="4610" width="18.33203125" style="451" customWidth="1"/>
    <col min="4611" max="4611" width="17.6640625" style="451" customWidth="1"/>
    <col min="4612" max="4612" width="22.5546875" style="451" customWidth="1"/>
    <col min="4613" max="4613" width="9.5546875" style="451" customWidth="1"/>
    <col min="4614" max="4614" width="17.109375" style="451" customWidth="1"/>
    <col min="4615" max="4615" width="13.109375" style="451" customWidth="1"/>
    <col min="4616" max="4616" width="14.33203125" style="451" customWidth="1"/>
    <col min="4617" max="4617" width="10" style="451" customWidth="1"/>
    <col min="4618" max="4618" width="11.5546875" style="451" customWidth="1"/>
    <col min="4619" max="4619" width="11" style="451" customWidth="1"/>
    <col min="4620" max="4620" width="0" style="451" hidden="1" customWidth="1"/>
    <col min="4621" max="4621" width="11.6640625" style="451" customWidth="1"/>
    <col min="4622" max="4623" width="9.109375" style="451"/>
    <col min="4624" max="4624" width="8.88671875" style="451" customWidth="1"/>
    <col min="4625" max="4625" width="10" style="451" customWidth="1"/>
    <col min="4626" max="4626" width="14.33203125" style="451" customWidth="1"/>
    <col min="4627" max="4864" width="9.109375" style="451"/>
    <col min="4865" max="4865" width="4.6640625" style="451" customWidth="1"/>
    <col min="4866" max="4866" width="18.33203125" style="451" customWidth="1"/>
    <col min="4867" max="4867" width="17.6640625" style="451" customWidth="1"/>
    <col min="4868" max="4868" width="22.5546875" style="451" customWidth="1"/>
    <col min="4869" max="4869" width="9.5546875" style="451" customWidth="1"/>
    <col min="4870" max="4870" width="17.109375" style="451" customWidth="1"/>
    <col min="4871" max="4871" width="13.109375" style="451" customWidth="1"/>
    <col min="4872" max="4872" width="14.33203125" style="451" customWidth="1"/>
    <col min="4873" max="4873" width="10" style="451" customWidth="1"/>
    <col min="4874" max="4874" width="11.5546875" style="451" customWidth="1"/>
    <col min="4875" max="4875" width="11" style="451" customWidth="1"/>
    <col min="4876" max="4876" width="0" style="451" hidden="1" customWidth="1"/>
    <col min="4877" max="4877" width="11.6640625" style="451" customWidth="1"/>
    <col min="4878" max="4879" width="9.109375" style="451"/>
    <col min="4880" max="4880" width="8.88671875" style="451" customWidth="1"/>
    <col min="4881" max="4881" width="10" style="451" customWidth="1"/>
    <col min="4882" max="4882" width="14.33203125" style="451" customWidth="1"/>
    <col min="4883" max="5120" width="9.109375" style="451"/>
    <col min="5121" max="5121" width="4.6640625" style="451" customWidth="1"/>
    <col min="5122" max="5122" width="18.33203125" style="451" customWidth="1"/>
    <col min="5123" max="5123" width="17.6640625" style="451" customWidth="1"/>
    <col min="5124" max="5124" width="22.5546875" style="451" customWidth="1"/>
    <col min="5125" max="5125" width="9.5546875" style="451" customWidth="1"/>
    <col min="5126" max="5126" width="17.109375" style="451" customWidth="1"/>
    <col min="5127" max="5127" width="13.109375" style="451" customWidth="1"/>
    <col min="5128" max="5128" width="14.33203125" style="451" customWidth="1"/>
    <col min="5129" max="5129" width="10" style="451" customWidth="1"/>
    <col min="5130" max="5130" width="11.5546875" style="451" customWidth="1"/>
    <col min="5131" max="5131" width="11" style="451" customWidth="1"/>
    <col min="5132" max="5132" width="0" style="451" hidden="1" customWidth="1"/>
    <col min="5133" max="5133" width="11.6640625" style="451" customWidth="1"/>
    <col min="5134" max="5135" width="9.109375" style="451"/>
    <col min="5136" max="5136" width="8.88671875" style="451" customWidth="1"/>
    <col min="5137" max="5137" width="10" style="451" customWidth="1"/>
    <col min="5138" max="5138" width="14.33203125" style="451" customWidth="1"/>
    <col min="5139" max="5376" width="9.109375" style="451"/>
    <col min="5377" max="5377" width="4.6640625" style="451" customWidth="1"/>
    <col min="5378" max="5378" width="18.33203125" style="451" customWidth="1"/>
    <col min="5379" max="5379" width="17.6640625" style="451" customWidth="1"/>
    <col min="5380" max="5380" width="22.5546875" style="451" customWidth="1"/>
    <col min="5381" max="5381" width="9.5546875" style="451" customWidth="1"/>
    <col min="5382" max="5382" width="17.109375" style="451" customWidth="1"/>
    <col min="5383" max="5383" width="13.109375" style="451" customWidth="1"/>
    <col min="5384" max="5384" width="14.33203125" style="451" customWidth="1"/>
    <col min="5385" max="5385" width="10" style="451" customWidth="1"/>
    <col min="5386" max="5386" width="11.5546875" style="451" customWidth="1"/>
    <col min="5387" max="5387" width="11" style="451" customWidth="1"/>
    <col min="5388" max="5388" width="0" style="451" hidden="1" customWidth="1"/>
    <col min="5389" max="5389" width="11.6640625" style="451" customWidth="1"/>
    <col min="5390" max="5391" width="9.109375" style="451"/>
    <col min="5392" max="5392" width="8.88671875" style="451" customWidth="1"/>
    <col min="5393" max="5393" width="10" style="451" customWidth="1"/>
    <col min="5394" max="5394" width="14.33203125" style="451" customWidth="1"/>
    <col min="5395" max="5632" width="9.109375" style="451"/>
    <col min="5633" max="5633" width="4.6640625" style="451" customWidth="1"/>
    <col min="5634" max="5634" width="18.33203125" style="451" customWidth="1"/>
    <col min="5635" max="5635" width="17.6640625" style="451" customWidth="1"/>
    <col min="5636" max="5636" width="22.5546875" style="451" customWidth="1"/>
    <col min="5637" max="5637" width="9.5546875" style="451" customWidth="1"/>
    <col min="5638" max="5638" width="17.109375" style="451" customWidth="1"/>
    <col min="5639" max="5639" width="13.109375" style="451" customWidth="1"/>
    <col min="5640" max="5640" width="14.33203125" style="451" customWidth="1"/>
    <col min="5641" max="5641" width="10" style="451" customWidth="1"/>
    <col min="5642" max="5642" width="11.5546875" style="451" customWidth="1"/>
    <col min="5643" max="5643" width="11" style="451" customWidth="1"/>
    <col min="5644" max="5644" width="0" style="451" hidden="1" customWidth="1"/>
    <col min="5645" max="5645" width="11.6640625" style="451" customWidth="1"/>
    <col min="5646" max="5647" width="9.109375" style="451"/>
    <col min="5648" max="5648" width="8.88671875" style="451" customWidth="1"/>
    <col min="5649" max="5649" width="10" style="451" customWidth="1"/>
    <col min="5650" max="5650" width="14.33203125" style="451" customWidth="1"/>
    <col min="5651" max="5888" width="9.109375" style="451"/>
    <col min="5889" max="5889" width="4.6640625" style="451" customWidth="1"/>
    <col min="5890" max="5890" width="18.33203125" style="451" customWidth="1"/>
    <col min="5891" max="5891" width="17.6640625" style="451" customWidth="1"/>
    <col min="5892" max="5892" width="22.5546875" style="451" customWidth="1"/>
    <col min="5893" max="5893" width="9.5546875" style="451" customWidth="1"/>
    <col min="5894" max="5894" width="17.109375" style="451" customWidth="1"/>
    <col min="5895" max="5895" width="13.109375" style="451" customWidth="1"/>
    <col min="5896" max="5896" width="14.33203125" style="451" customWidth="1"/>
    <col min="5897" max="5897" width="10" style="451" customWidth="1"/>
    <col min="5898" max="5898" width="11.5546875" style="451" customWidth="1"/>
    <col min="5899" max="5899" width="11" style="451" customWidth="1"/>
    <col min="5900" max="5900" width="0" style="451" hidden="1" customWidth="1"/>
    <col min="5901" max="5901" width="11.6640625" style="451" customWidth="1"/>
    <col min="5902" max="5903" width="9.109375" style="451"/>
    <col min="5904" max="5904" width="8.88671875" style="451" customWidth="1"/>
    <col min="5905" max="5905" width="10" style="451" customWidth="1"/>
    <col min="5906" max="5906" width="14.33203125" style="451" customWidth="1"/>
    <col min="5907" max="6144" width="9.109375" style="451"/>
    <col min="6145" max="6145" width="4.6640625" style="451" customWidth="1"/>
    <col min="6146" max="6146" width="18.33203125" style="451" customWidth="1"/>
    <col min="6147" max="6147" width="17.6640625" style="451" customWidth="1"/>
    <col min="6148" max="6148" width="22.5546875" style="451" customWidth="1"/>
    <col min="6149" max="6149" width="9.5546875" style="451" customWidth="1"/>
    <col min="6150" max="6150" width="17.109375" style="451" customWidth="1"/>
    <col min="6151" max="6151" width="13.109375" style="451" customWidth="1"/>
    <col min="6152" max="6152" width="14.33203125" style="451" customWidth="1"/>
    <col min="6153" max="6153" width="10" style="451" customWidth="1"/>
    <col min="6154" max="6154" width="11.5546875" style="451" customWidth="1"/>
    <col min="6155" max="6155" width="11" style="451" customWidth="1"/>
    <col min="6156" max="6156" width="0" style="451" hidden="1" customWidth="1"/>
    <col min="6157" max="6157" width="11.6640625" style="451" customWidth="1"/>
    <col min="6158" max="6159" width="9.109375" style="451"/>
    <col min="6160" max="6160" width="8.88671875" style="451" customWidth="1"/>
    <col min="6161" max="6161" width="10" style="451" customWidth="1"/>
    <col min="6162" max="6162" width="14.33203125" style="451" customWidth="1"/>
    <col min="6163" max="6400" width="9.109375" style="451"/>
    <col min="6401" max="6401" width="4.6640625" style="451" customWidth="1"/>
    <col min="6402" max="6402" width="18.33203125" style="451" customWidth="1"/>
    <col min="6403" max="6403" width="17.6640625" style="451" customWidth="1"/>
    <col min="6404" max="6404" width="22.5546875" style="451" customWidth="1"/>
    <col min="6405" max="6405" width="9.5546875" style="451" customWidth="1"/>
    <col min="6406" max="6406" width="17.109375" style="451" customWidth="1"/>
    <col min="6407" max="6407" width="13.109375" style="451" customWidth="1"/>
    <col min="6408" max="6408" width="14.33203125" style="451" customWidth="1"/>
    <col min="6409" max="6409" width="10" style="451" customWidth="1"/>
    <col min="6410" max="6410" width="11.5546875" style="451" customWidth="1"/>
    <col min="6411" max="6411" width="11" style="451" customWidth="1"/>
    <col min="6412" max="6412" width="0" style="451" hidden="1" customWidth="1"/>
    <col min="6413" max="6413" width="11.6640625" style="451" customWidth="1"/>
    <col min="6414" max="6415" width="9.109375" style="451"/>
    <col min="6416" max="6416" width="8.88671875" style="451" customWidth="1"/>
    <col min="6417" max="6417" width="10" style="451" customWidth="1"/>
    <col min="6418" max="6418" width="14.33203125" style="451" customWidth="1"/>
    <col min="6419" max="6656" width="9.109375" style="451"/>
    <col min="6657" max="6657" width="4.6640625" style="451" customWidth="1"/>
    <col min="6658" max="6658" width="18.33203125" style="451" customWidth="1"/>
    <col min="6659" max="6659" width="17.6640625" style="451" customWidth="1"/>
    <col min="6660" max="6660" width="22.5546875" style="451" customWidth="1"/>
    <col min="6661" max="6661" width="9.5546875" style="451" customWidth="1"/>
    <col min="6662" max="6662" width="17.109375" style="451" customWidth="1"/>
    <col min="6663" max="6663" width="13.109375" style="451" customWidth="1"/>
    <col min="6664" max="6664" width="14.33203125" style="451" customWidth="1"/>
    <col min="6665" max="6665" width="10" style="451" customWidth="1"/>
    <col min="6666" max="6666" width="11.5546875" style="451" customWidth="1"/>
    <col min="6667" max="6667" width="11" style="451" customWidth="1"/>
    <col min="6668" max="6668" width="0" style="451" hidden="1" customWidth="1"/>
    <col min="6669" max="6669" width="11.6640625" style="451" customWidth="1"/>
    <col min="6670" max="6671" width="9.109375" style="451"/>
    <col min="6672" max="6672" width="8.88671875" style="451" customWidth="1"/>
    <col min="6673" max="6673" width="10" style="451" customWidth="1"/>
    <col min="6674" max="6674" width="14.33203125" style="451" customWidth="1"/>
    <col min="6675" max="6912" width="9.109375" style="451"/>
    <col min="6913" max="6913" width="4.6640625" style="451" customWidth="1"/>
    <col min="6914" max="6914" width="18.33203125" style="451" customWidth="1"/>
    <col min="6915" max="6915" width="17.6640625" style="451" customWidth="1"/>
    <col min="6916" max="6916" width="22.5546875" style="451" customWidth="1"/>
    <col min="6917" max="6917" width="9.5546875" style="451" customWidth="1"/>
    <col min="6918" max="6918" width="17.109375" style="451" customWidth="1"/>
    <col min="6919" max="6919" width="13.109375" style="451" customWidth="1"/>
    <col min="6920" max="6920" width="14.33203125" style="451" customWidth="1"/>
    <col min="6921" max="6921" width="10" style="451" customWidth="1"/>
    <col min="6922" max="6922" width="11.5546875" style="451" customWidth="1"/>
    <col min="6923" max="6923" width="11" style="451" customWidth="1"/>
    <col min="6924" max="6924" width="0" style="451" hidden="1" customWidth="1"/>
    <col min="6925" max="6925" width="11.6640625" style="451" customWidth="1"/>
    <col min="6926" max="6927" width="9.109375" style="451"/>
    <col min="6928" max="6928" width="8.88671875" style="451" customWidth="1"/>
    <col min="6929" max="6929" width="10" style="451" customWidth="1"/>
    <col min="6930" max="6930" width="14.33203125" style="451" customWidth="1"/>
    <col min="6931" max="7168" width="9.109375" style="451"/>
    <col min="7169" max="7169" width="4.6640625" style="451" customWidth="1"/>
    <col min="7170" max="7170" width="18.33203125" style="451" customWidth="1"/>
    <col min="7171" max="7171" width="17.6640625" style="451" customWidth="1"/>
    <col min="7172" max="7172" width="22.5546875" style="451" customWidth="1"/>
    <col min="7173" max="7173" width="9.5546875" style="451" customWidth="1"/>
    <col min="7174" max="7174" width="17.109375" style="451" customWidth="1"/>
    <col min="7175" max="7175" width="13.109375" style="451" customWidth="1"/>
    <col min="7176" max="7176" width="14.33203125" style="451" customWidth="1"/>
    <col min="7177" max="7177" width="10" style="451" customWidth="1"/>
    <col min="7178" max="7178" width="11.5546875" style="451" customWidth="1"/>
    <col min="7179" max="7179" width="11" style="451" customWidth="1"/>
    <col min="7180" max="7180" width="0" style="451" hidden="1" customWidth="1"/>
    <col min="7181" max="7181" width="11.6640625" style="451" customWidth="1"/>
    <col min="7182" max="7183" width="9.109375" style="451"/>
    <col min="7184" max="7184" width="8.88671875" style="451" customWidth="1"/>
    <col min="7185" max="7185" width="10" style="451" customWidth="1"/>
    <col min="7186" max="7186" width="14.33203125" style="451" customWidth="1"/>
    <col min="7187" max="7424" width="9.109375" style="451"/>
    <col min="7425" max="7425" width="4.6640625" style="451" customWidth="1"/>
    <col min="7426" max="7426" width="18.33203125" style="451" customWidth="1"/>
    <col min="7427" max="7427" width="17.6640625" style="451" customWidth="1"/>
    <col min="7428" max="7428" width="22.5546875" style="451" customWidth="1"/>
    <col min="7429" max="7429" width="9.5546875" style="451" customWidth="1"/>
    <col min="7430" max="7430" width="17.109375" style="451" customWidth="1"/>
    <col min="7431" max="7431" width="13.109375" style="451" customWidth="1"/>
    <col min="7432" max="7432" width="14.33203125" style="451" customWidth="1"/>
    <col min="7433" max="7433" width="10" style="451" customWidth="1"/>
    <col min="7434" max="7434" width="11.5546875" style="451" customWidth="1"/>
    <col min="7435" max="7435" width="11" style="451" customWidth="1"/>
    <col min="7436" max="7436" width="0" style="451" hidden="1" customWidth="1"/>
    <col min="7437" max="7437" width="11.6640625" style="451" customWidth="1"/>
    <col min="7438" max="7439" width="9.109375" style="451"/>
    <col min="7440" max="7440" width="8.88671875" style="451" customWidth="1"/>
    <col min="7441" max="7441" width="10" style="451" customWidth="1"/>
    <col min="7442" max="7442" width="14.33203125" style="451" customWidth="1"/>
    <col min="7443" max="7680" width="9.109375" style="451"/>
    <col min="7681" max="7681" width="4.6640625" style="451" customWidth="1"/>
    <col min="7682" max="7682" width="18.33203125" style="451" customWidth="1"/>
    <col min="7683" max="7683" width="17.6640625" style="451" customWidth="1"/>
    <col min="7684" max="7684" width="22.5546875" style="451" customWidth="1"/>
    <col min="7685" max="7685" width="9.5546875" style="451" customWidth="1"/>
    <col min="7686" max="7686" width="17.109375" style="451" customWidth="1"/>
    <col min="7687" max="7687" width="13.109375" style="451" customWidth="1"/>
    <col min="7688" max="7688" width="14.33203125" style="451" customWidth="1"/>
    <col min="7689" max="7689" width="10" style="451" customWidth="1"/>
    <col min="7690" max="7690" width="11.5546875" style="451" customWidth="1"/>
    <col min="7691" max="7691" width="11" style="451" customWidth="1"/>
    <col min="7692" max="7692" width="0" style="451" hidden="1" customWidth="1"/>
    <col min="7693" max="7693" width="11.6640625" style="451" customWidth="1"/>
    <col min="7694" max="7695" width="9.109375" style="451"/>
    <col min="7696" max="7696" width="8.88671875" style="451" customWidth="1"/>
    <col min="7697" max="7697" width="10" style="451" customWidth="1"/>
    <col min="7698" max="7698" width="14.33203125" style="451" customWidth="1"/>
    <col min="7699" max="7936" width="9.109375" style="451"/>
    <col min="7937" max="7937" width="4.6640625" style="451" customWidth="1"/>
    <col min="7938" max="7938" width="18.33203125" style="451" customWidth="1"/>
    <col min="7939" max="7939" width="17.6640625" style="451" customWidth="1"/>
    <col min="7940" max="7940" width="22.5546875" style="451" customWidth="1"/>
    <col min="7941" max="7941" width="9.5546875" style="451" customWidth="1"/>
    <col min="7942" max="7942" width="17.109375" style="451" customWidth="1"/>
    <col min="7943" max="7943" width="13.109375" style="451" customWidth="1"/>
    <col min="7944" max="7944" width="14.33203125" style="451" customWidth="1"/>
    <col min="7945" max="7945" width="10" style="451" customWidth="1"/>
    <col min="7946" max="7946" width="11.5546875" style="451" customWidth="1"/>
    <col min="7947" max="7947" width="11" style="451" customWidth="1"/>
    <col min="7948" max="7948" width="0" style="451" hidden="1" customWidth="1"/>
    <col min="7949" max="7949" width="11.6640625" style="451" customWidth="1"/>
    <col min="7950" max="7951" width="9.109375" style="451"/>
    <col min="7952" max="7952" width="8.88671875" style="451" customWidth="1"/>
    <col min="7953" max="7953" width="10" style="451" customWidth="1"/>
    <col min="7954" max="7954" width="14.33203125" style="451" customWidth="1"/>
    <col min="7955" max="8192" width="9.109375" style="451"/>
    <col min="8193" max="8193" width="4.6640625" style="451" customWidth="1"/>
    <col min="8194" max="8194" width="18.33203125" style="451" customWidth="1"/>
    <col min="8195" max="8195" width="17.6640625" style="451" customWidth="1"/>
    <col min="8196" max="8196" width="22.5546875" style="451" customWidth="1"/>
    <col min="8197" max="8197" width="9.5546875" style="451" customWidth="1"/>
    <col min="8198" max="8198" width="17.109375" style="451" customWidth="1"/>
    <col min="8199" max="8199" width="13.109375" style="451" customWidth="1"/>
    <col min="8200" max="8200" width="14.33203125" style="451" customWidth="1"/>
    <col min="8201" max="8201" width="10" style="451" customWidth="1"/>
    <col min="8202" max="8202" width="11.5546875" style="451" customWidth="1"/>
    <col min="8203" max="8203" width="11" style="451" customWidth="1"/>
    <col min="8204" max="8204" width="0" style="451" hidden="1" customWidth="1"/>
    <col min="8205" max="8205" width="11.6640625" style="451" customWidth="1"/>
    <col min="8206" max="8207" width="9.109375" style="451"/>
    <col min="8208" max="8208" width="8.88671875" style="451" customWidth="1"/>
    <col min="8209" max="8209" width="10" style="451" customWidth="1"/>
    <col min="8210" max="8210" width="14.33203125" style="451" customWidth="1"/>
    <col min="8211" max="8448" width="9.109375" style="451"/>
    <col min="8449" max="8449" width="4.6640625" style="451" customWidth="1"/>
    <col min="8450" max="8450" width="18.33203125" style="451" customWidth="1"/>
    <col min="8451" max="8451" width="17.6640625" style="451" customWidth="1"/>
    <col min="8452" max="8452" width="22.5546875" style="451" customWidth="1"/>
    <col min="8453" max="8453" width="9.5546875" style="451" customWidth="1"/>
    <col min="8454" max="8454" width="17.109375" style="451" customWidth="1"/>
    <col min="8455" max="8455" width="13.109375" style="451" customWidth="1"/>
    <col min="8456" max="8456" width="14.33203125" style="451" customWidth="1"/>
    <col min="8457" max="8457" width="10" style="451" customWidth="1"/>
    <col min="8458" max="8458" width="11.5546875" style="451" customWidth="1"/>
    <col min="8459" max="8459" width="11" style="451" customWidth="1"/>
    <col min="8460" max="8460" width="0" style="451" hidden="1" customWidth="1"/>
    <col min="8461" max="8461" width="11.6640625" style="451" customWidth="1"/>
    <col min="8462" max="8463" width="9.109375" style="451"/>
    <col min="8464" max="8464" width="8.88671875" style="451" customWidth="1"/>
    <col min="8465" max="8465" width="10" style="451" customWidth="1"/>
    <col min="8466" max="8466" width="14.33203125" style="451" customWidth="1"/>
    <col min="8467" max="8704" width="9.109375" style="451"/>
    <col min="8705" max="8705" width="4.6640625" style="451" customWidth="1"/>
    <col min="8706" max="8706" width="18.33203125" style="451" customWidth="1"/>
    <col min="8707" max="8707" width="17.6640625" style="451" customWidth="1"/>
    <col min="8708" max="8708" width="22.5546875" style="451" customWidth="1"/>
    <col min="8709" max="8709" width="9.5546875" style="451" customWidth="1"/>
    <col min="8710" max="8710" width="17.109375" style="451" customWidth="1"/>
    <col min="8711" max="8711" width="13.109375" style="451" customWidth="1"/>
    <col min="8712" max="8712" width="14.33203125" style="451" customWidth="1"/>
    <col min="8713" max="8713" width="10" style="451" customWidth="1"/>
    <col min="8714" max="8714" width="11.5546875" style="451" customWidth="1"/>
    <col min="8715" max="8715" width="11" style="451" customWidth="1"/>
    <col min="8716" max="8716" width="0" style="451" hidden="1" customWidth="1"/>
    <col min="8717" max="8717" width="11.6640625" style="451" customWidth="1"/>
    <col min="8718" max="8719" width="9.109375" style="451"/>
    <col min="8720" max="8720" width="8.88671875" style="451" customWidth="1"/>
    <col min="8721" max="8721" width="10" style="451" customWidth="1"/>
    <col min="8722" max="8722" width="14.33203125" style="451" customWidth="1"/>
    <col min="8723" max="8960" width="9.109375" style="451"/>
    <col min="8961" max="8961" width="4.6640625" style="451" customWidth="1"/>
    <col min="8962" max="8962" width="18.33203125" style="451" customWidth="1"/>
    <col min="8963" max="8963" width="17.6640625" style="451" customWidth="1"/>
    <col min="8964" max="8964" width="22.5546875" style="451" customWidth="1"/>
    <col min="8965" max="8965" width="9.5546875" style="451" customWidth="1"/>
    <col min="8966" max="8966" width="17.109375" style="451" customWidth="1"/>
    <col min="8967" max="8967" width="13.109375" style="451" customWidth="1"/>
    <col min="8968" max="8968" width="14.33203125" style="451" customWidth="1"/>
    <col min="8969" max="8969" width="10" style="451" customWidth="1"/>
    <col min="8970" max="8970" width="11.5546875" style="451" customWidth="1"/>
    <col min="8971" max="8971" width="11" style="451" customWidth="1"/>
    <col min="8972" max="8972" width="0" style="451" hidden="1" customWidth="1"/>
    <col min="8973" max="8973" width="11.6640625" style="451" customWidth="1"/>
    <col min="8974" max="8975" width="9.109375" style="451"/>
    <col min="8976" max="8976" width="8.88671875" style="451" customWidth="1"/>
    <col min="8977" max="8977" width="10" style="451" customWidth="1"/>
    <col min="8978" max="8978" width="14.33203125" style="451" customWidth="1"/>
    <col min="8979" max="9216" width="9.109375" style="451"/>
    <col min="9217" max="9217" width="4.6640625" style="451" customWidth="1"/>
    <col min="9218" max="9218" width="18.33203125" style="451" customWidth="1"/>
    <col min="9219" max="9219" width="17.6640625" style="451" customWidth="1"/>
    <col min="9220" max="9220" width="22.5546875" style="451" customWidth="1"/>
    <col min="9221" max="9221" width="9.5546875" style="451" customWidth="1"/>
    <col min="9222" max="9222" width="17.109375" style="451" customWidth="1"/>
    <col min="9223" max="9223" width="13.109375" style="451" customWidth="1"/>
    <col min="9224" max="9224" width="14.33203125" style="451" customWidth="1"/>
    <col min="9225" max="9225" width="10" style="451" customWidth="1"/>
    <col min="9226" max="9226" width="11.5546875" style="451" customWidth="1"/>
    <col min="9227" max="9227" width="11" style="451" customWidth="1"/>
    <col min="9228" max="9228" width="0" style="451" hidden="1" customWidth="1"/>
    <col min="9229" max="9229" width="11.6640625" style="451" customWidth="1"/>
    <col min="9230" max="9231" width="9.109375" style="451"/>
    <col min="9232" max="9232" width="8.88671875" style="451" customWidth="1"/>
    <col min="9233" max="9233" width="10" style="451" customWidth="1"/>
    <col min="9234" max="9234" width="14.33203125" style="451" customWidth="1"/>
    <col min="9235" max="9472" width="9.109375" style="451"/>
    <col min="9473" max="9473" width="4.6640625" style="451" customWidth="1"/>
    <col min="9474" max="9474" width="18.33203125" style="451" customWidth="1"/>
    <col min="9475" max="9475" width="17.6640625" style="451" customWidth="1"/>
    <col min="9476" max="9476" width="22.5546875" style="451" customWidth="1"/>
    <col min="9477" max="9477" width="9.5546875" style="451" customWidth="1"/>
    <col min="9478" max="9478" width="17.109375" style="451" customWidth="1"/>
    <col min="9479" max="9479" width="13.109375" style="451" customWidth="1"/>
    <col min="9480" max="9480" width="14.33203125" style="451" customWidth="1"/>
    <col min="9481" max="9481" width="10" style="451" customWidth="1"/>
    <col min="9482" max="9482" width="11.5546875" style="451" customWidth="1"/>
    <col min="9483" max="9483" width="11" style="451" customWidth="1"/>
    <col min="9484" max="9484" width="0" style="451" hidden="1" customWidth="1"/>
    <col min="9485" max="9485" width="11.6640625" style="451" customWidth="1"/>
    <col min="9486" max="9487" width="9.109375" style="451"/>
    <col min="9488" max="9488" width="8.88671875" style="451" customWidth="1"/>
    <col min="9489" max="9489" width="10" style="451" customWidth="1"/>
    <col min="9490" max="9490" width="14.33203125" style="451" customWidth="1"/>
    <col min="9491" max="9728" width="9.109375" style="451"/>
    <col min="9729" max="9729" width="4.6640625" style="451" customWidth="1"/>
    <col min="9730" max="9730" width="18.33203125" style="451" customWidth="1"/>
    <col min="9731" max="9731" width="17.6640625" style="451" customWidth="1"/>
    <col min="9732" max="9732" width="22.5546875" style="451" customWidth="1"/>
    <col min="9733" max="9733" width="9.5546875" style="451" customWidth="1"/>
    <col min="9734" max="9734" width="17.109375" style="451" customWidth="1"/>
    <col min="9735" max="9735" width="13.109375" style="451" customWidth="1"/>
    <col min="9736" max="9736" width="14.33203125" style="451" customWidth="1"/>
    <col min="9737" max="9737" width="10" style="451" customWidth="1"/>
    <col min="9738" max="9738" width="11.5546875" style="451" customWidth="1"/>
    <col min="9739" max="9739" width="11" style="451" customWidth="1"/>
    <col min="9740" max="9740" width="0" style="451" hidden="1" customWidth="1"/>
    <col min="9741" max="9741" width="11.6640625" style="451" customWidth="1"/>
    <col min="9742" max="9743" width="9.109375" style="451"/>
    <col min="9744" max="9744" width="8.88671875" style="451" customWidth="1"/>
    <col min="9745" max="9745" width="10" style="451" customWidth="1"/>
    <col min="9746" max="9746" width="14.33203125" style="451" customWidth="1"/>
    <col min="9747" max="9984" width="9.109375" style="451"/>
    <col min="9985" max="9985" width="4.6640625" style="451" customWidth="1"/>
    <col min="9986" max="9986" width="18.33203125" style="451" customWidth="1"/>
    <col min="9987" max="9987" width="17.6640625" style="451" customWidth="1"/>
    <col min="9988" max="9988" width="22.5546875" style="451" customWidth="1"/>
    <col min="9989" max="9989" width="9.5546875" style="451" customWidth="1"/>
    <col min="9990" max="9990" width="17.109375" style="451" customWidth="1"/>
    <col min="9991" max="9991" width="13.109375" style="451" customWidth="1"/>
    <col min="9992" max="9992" width="14.33203125" style="451" customWidth="1"/>
    <col min="9993" max="9993" width="10" style="451" customWidth="1"/>
    <col min="9994" max="9994" width="11.5546875" style="451" customWidth="1"/>
    <col min="9995" max="9995" width="11" style="451" customWidth="1"/>
    <col min="9996" max="9996" width="0" style="451" hidden="1" customWidth="1"/>
    <col min="9997" max="9997" width="11.6640625" style="451" customWidth="1"/>
    <col min="9998" max="9999" width="9.109375" style="451"/>
    <col min="10000" max="10000" width="8.88671875" style="451" customWidth="1"/>
    <col min="10001" max="10001" width="10" style="451" customWidth="1"/>
    <col min="10002" max="10002" width="14.33203125" style="451" customWidth="1"/>
    <col min="10003" max="10240" width="9.109375" style="451"/>
    <col min="10241" max="10241" width="4.6640625" style="451" customWidth="1"/>
    <col min="10242" max="10242" width="18.33203125" style="451" customWidth="1"/>
    <col min="10243" max="10243" width="17.6640625" style="451" customWidth="1"/>
    <col min="10244" max="10244" width="22.5546875" style="451" customWidth="1"/>
    <col min="10245" max="10245" width="9.5546875" style="451" customWidth="1"/>
    <col min="10246" max="10246" width="17.109375" style="451" customWidth="1"/>
    <col min="10247" max="10247" width="13.109375" style="451" customWidth="1"/>
    <col min="10248" max="10248" width="14.33203125" style="451" customWidth="1"/>
    <col min="10249" max="10249" width="10" style="451" customWidth="1"/>
    <col min="10250" max="10250" width="11.5546875" style="451" customWidth="1"/>
    <col min="10251" max="10251" width="11" style="451" customWidth="1"/>
    <col min="10252" max="10252" width="0" style="451" hidden="1" customWidth="1"/>
    <col min="10253" max="10253" width="11.6640625" style="451" customWidth="1"/>
    <col min="10254" max="10255" width="9.109375" style="451"/>
    <col min="10256" max="10256" width="8.88671875" style="451" customWidth="1"/>
    <col min="10257" max="10257" width="10" style="451" customWidth="1"/>
    <col min="10258" max="10258" width="14.33203125" style="451" customWidth="1"/>
    <col min="10259" max="10496" width="9.109375" style="451"/>
    <col min="10497" max="10497" width="4.6640625" style="451" customWidth="1"/>
    <col min="10498" max="10498" width="18.33203125" style="451" customWidth="1"/>
    <col min="10499" max="10499" width="17.6640625" style="451" customWidth="1"/>
    <col min="10500" max="10500" width="22.5546875" style="451" customWidth="1"/>
    <col min="10501" max="10501" width="9.5546875" style="451" customWidth="1"/>
    <col min="10502" max="10502" width="17.109375" style="451" customWidth="1"/>
    <col min="10503" max="10503" width="13.109375" style="451" customWidth="1"/>
    <col min="10504" max="10504" width="14.33203125" style="451" customWidth="1"/>
    <col min="10505" max="10505" width="10" style="451" customWidth="1"/>
    <col min="10506" max="10506" width="11.5546875" style="451" customWidth="1"/>
    <col min="10507" max="10507" width="11" style="451" customWidth="1"/>
    <col min="10508" max="10508" width="0" style="451" hidden="1" customWidth="1"/>
    <col min="10509" max="10509" width="11.6640625" style="451" customWidth="1"/>
    <col min="10510" max="10511" width="9.109375" style="451"/>
    <col min="10512" max="10512" width="8.88671875" style="451" customWidth="1"/>
    <col min="10513" max="10513" width="10" style="451" customWidth="1"/>
    <col min="10514" max="10514" width="14.33203125" style="451" customWidth="1"/>
    <col min="10515" max="10752" width="9.109375" style="451"/>
    <col min="10753" max="10753" width="4.6640625" style="451" customWidth="1"/>
    <col min="10754" max="10754" width="18.33203125" style="451" customWidth="1"/>
    <col min="10755" max="10755" width="17.6640625" style="451" customWidth="1"/>
    <col min="10756" max="10756" width="22.5546875" style="451" customWidth="1"/>
    <col min="10757" max="10757" width="9.5546875" style="451" customWidth="1"/>
    <col min="10758" max="10758" width="17.109375" style="451" customWidth="1"/>
    <col min="10759" max="10759" width="13.109375" style="451" customWidth="1"/>
    <col min="10760" max="10760" width="14.33203125" style="451" customWidth="1"/>
    <col min="10761" max="10761" width="10" style="451" customWidth="1"/>
    <col min="10762" max="10762" width="11.5546875" style="451" customWidth="1"/>
    <col min="10763" max="10763" width="11" style="451" customWidth="1"/>
    <col min="10764" max="10764" width="0" style="451" hidden="1" customWidth="1"/>
    <col min="10765" max="10765" width="11.6640625" style="451" customWidth="1"/>
    <col min="10766" max="10767" width="9.109375" style="451"/>
    <col min="10768" max="10768" width="8.88671875" style="451" customWidth="1"/>
    <col min="10769" max="10769" width="10" style="451" customWidth="1"/>
    <col min="10770" max="10770" width="14.33203125" style="451" customWidth="1"/>
    <col min="10771" max="11008" width="9.109375" style="451"/>
    <col min="11009" max="11009" width="4.6640625" style="451" customWidth="1"/>
    <col min="11010" max="11010" width="18.33203125" style="451" customWidth="1"/>
    <col min="11011" max="11011" width="17.6640625" style="451" customWidth="1"/>
    <col min="11012" max="11012" width="22.5546875" style="451" customWidth="1"/>
    <col min="11013" max="11013" width="9.5546875" style="451" customWidth="1"/>
    <col min="11014" max="11014" width="17.109375" style="451" customWidth="1"/>
    <col min="11015" max="11015" width="13.109375" style="451" customWidth="1"/>
    <col min="11016" max="11016" width="14.33203125" style="451" customWidth="1"/>
    <col min="11017" max="11017" width="10" style="451" customWidth="1"/>
    <col min="11018" max="11018" width="11.5546875" style="451" customWidth="1"/>
    <col min="11019" max="11019" width="11" style="451" customWidth="1"/>
    <col min="11020" max="11020" width="0" style="451" hidden="1" customWidth="1"/>
    <col min="11021" max="11021" width="11.6640625" style="451" customWidth="1"/>
    <col min="11022" max="11023" width="9.109375" style="451"/>
    <col min="11024" max="11024" width="8.88671875" style="451" customWidth="1"/>
    <col min="11025" max="11025" width="10" style="451" customWidth="1"/>
    <col min="11026" max="11026" width="14.33203125" style="451" customWidth="1"/>
    <col min="11027" max="11264" width="9.109375" style="451"/>
    <col min="11265" max="11265" width="4.6640625" style="451" customWidth="1"/>
    <col min="11266" max="11266" width="18.33203125" style="451" customWidth="1"/>
    <col min="11267" max="11267" width="17.6640625" style="451" customWidth="1"/>
    <col min="11268" max="11268" width="22.5546875" style="451" customWidth="1"/>
    <col min="11269" max="11269" width="9.5546875" style="451" customWidth="1"/>
    <col min="11270" max="11270" width="17.109375" style="451" customWidth="1"/>
    <col min="11271" max="11271" width="13.109375" style="451" customWidth="1"/>
    <col min="11272" max="11272" width="14.33203125" style="451" customWidth="1"/>
    <col min="11273" max="11273" width="10" style="451" customWidth="1"/>
    <col min="11274" max="11274" width="11.5546875" style="451" customWidth="1"/>
    <col min="11275" max="11275" width="11" style="451" customWidth="1"/>
    <col min="11276" max="11276" width="0" style="451" hidden="1" customWidth="1"/>
    <col min="11277" max="11277" width="11.6640625" style="451" customWidth="1"/>
    <col min="11278" max="11279" width="9.109375" style="451"/>
    <col min="11280" max="11280" width="8.88671875" style="451" customWidth="1"/>
    <col min="11281" max="11281" width="10" style="451" customWidth="1"/>
    <col min="11282" max="11282" width="14.33203125" style="451" customWidth="1"/>
    <col min="11283" max="11520" width="9.109375" style="451"/>
    <col min="11521" max="11521" width="4.6640625" style="451" customWidth="1"/>
    <col min="11522" max="11522" width="18.33203125" style="451" customWidth="1"/>
    <col min="11523" max="11523" width="17.6640625" style="451" customWidth="1"/>
    <col min="11524" max="11524" width="22.5546875" style="451" customWidth="1"/>
    <col min="11525" max="11525" width="9.5546875" style="451" customWidth="1"/>
    <col min="11526" max="11526" width="17.109375" style="451" customWidth="1"/>
    <col min="11527" max="11527" width="13.109375" style="451" customWidth="1"/>
    <col min="11528" max="11528" width="14.33203125" style="451" customWidth="1"/>
    <col min="11529" max="11529" width="10" style="451" customWidth="1"/>
    <col min="11530" max="11530" width="11.5546875" style="451" customWidth="1"/>
    <col min="11531" max="11531" width="11" style="451" customWidth="1"/>
    <col min="11532" max="11532" width="0" style="451" hidden="1" customWidth="1"/>
    <col min="11533" max="11533" width="11.6640625" style="451" customWidth="1"/>
    <col min="11534" max="11535" width="9.109375" style="451"/>
    <col min="11536" max="11536" width="8.88671875" style="451" customWidth="1"/>
    <col min="11537" max="11537" width="10" style="451" customWidth="1"/>
    <col min="11538" max="11538" width="14.33203125" style="451" customWidth="1"/>
    <col min="11539" max="11776" width="9.109375" style="451"/>
    <col min="11777" max="11777" width="4.6640625" style="451" customWidth="1"/>
    <col min="11778" max="11778" width="18.33203125" style="451" customWidth="1"/>
    <col min="11779" max="11779" width="17.6640625" style="451" customWidth="1"/>
    <col min="11780" max="11780" width="22.5546875" style="451" customWidth="1"/>
    <col min="11781" max="11781" width="9.5546875" style="451" customWidth="1"/>
    <col min="11782" max="11782" width="17.109375" style="451" customWidth="1"/>
    <col min="11783" max="11783" width="13.109375" style="451" customWidth="1"/>
    <col min="11784" max="11784" width="14.33203125" style="451" customWidth="1"/>
    <col min="11785" max="11785" width="10" style="451" customWidth="1"/>
    <col min="11786" max="11786" width="11.5546875" style="451" customWidth="1"/>
    <col min="11787" max="11787" width="11" style="451" customWidth="1"/>
    <col min="11788" max="11788" width="0" style="451" hidden="1" customWidth="1"/>
    <col min="11789" max="11789" width="11.6640625" style="451" customWidth="1"/>
    <col min="11790" max="11791" width="9.109375" style="451"/>
    <col min="11792" max="11792" width="8.88671875" style="451" customWidth="1"/>
    <col min="11793" max="11793" width="10" style="451" customWidth="1"/>
    <col min="11794" max="11794" width="14.33203125" style="451" customWidth="1"/>
    <col min="11795" max="12032" width="9.109375" style="451"/>
    <col min="12033" max="12033" width="4.6640625" style="451" customWidth="1"/>
    <col min="12034" max="12034" width="18.33203125" style="451" customWidth="1"/>
    <col min="12035" max="12035" width="17.6640625" style="451" customWidth="1"/>
    <col min="12036" max="12036" width="22.5546875" style="451" customWidth="1"/>
    <col min="12037" max="12037" width="9.5546875" style="451" customWidth="1"/>
    <col min="12038" max="12038" width="17.109375" style="451" customWidth="1"/>
    <col min="12039" max="12039" width="13.109375" style="451" customWidth="1"/>
    <col min="12040" max="12040" width="14.33203125" style="451" customWidth="1"/>
    <col min="12041" max="12041" width="10" style="451" customWidth="1"/>
    <col min="12042" max="12042" width="11.5546875" style="451" customWidth="1"/>
    <col min="12043" max="12043" width="11" style="451" customWidth="1"/>
    <col min="12044" max="12044" width="0" style="451" hidden="1" customWidth="1"/>
    <col min="12045" max="12045" width="11.6640625" style="451" customWidth="1"/>
    <col min="12046" max="12047" width="9.109375" style="451"/>
    <col min="12048" max="12048" width="8.88671875" style="451" customWidth="1"/>
    <col min="12049" max="12049" width="10" style="451" customWidth="1"/>
    <col min="12050" max="12050" width="14.33203125" style="451" customWidth="1"/>
    <col min="12051" max="12288" width="9.109375" style="451"/>
    <col min="12289" max="12289" width="4.6640625" style="451" customWidth="1"/>
    <col min="12290" max="12290" width="18.33203125" style="451" customWidth="1"/>
    <col min="12291" max="12291" width="17.6640625" style="451" customWidth="1"/>
    <col min="12292" max="12292" width="22.5546875" style="451" customWidth="1"/>
    <col min="12293" max="12293" width="9.5546875" style="451" customWidth="1"/>
    <col min="12294" max="12294" width="17.109375" style="451" customWidth="1"/>
    <col min="12295" max="12295" width="13.109375" style="451" customWidth="1"/>
    <col min="12296" max="12296" width="14.33203125" style="451" customWidth="1"/>
    <col min="12297" max="12297" width="10" style="451" customWidth="1"/>
    <col min="12298" max="12298" width="11.5546875" style="451" customWidth="1"/>
    <col min="12299" max="12299" width="11" style="451" customWidth="1"/>
    <col min="12300" max="12300" width="0" style="451" hidden="1" customWidth="1"/>
    <col min="12301" max="12301" width="11.6640625" style="451" customWidth="1"/>
    <col min="12302" max="12303" width="9.109375" style="451"/>
    <col min="12304" max="12304" width="8.88671875" style="451" customWidth="1"/>
    <col min="12305" max="12305" width="10" style="451" customWidth="1"/>
    <col min="12306" max="12306" width="14.33203125" style="451" customWidth="1"/>
    <col min="12307" max="12544" width="9.109375" style="451"/>
    <col min="12545" max="12545" width="4.6640625" style="451" customWidth="1"/>
    <col min="12546" max="12546" width="18.33203125" style="451" customWidth="1"/>
    <col min="12547" max="12547" width="17.6640625" style="451" customWidth="1"/>
    <col min="12548" max="12548" width="22.5546875" style="451" customWidth="1"/>
    <col min="12549" max="12549" width="9.5546875" style="451" customWidth="1"/>
    <col min="12550" max="12550" width="17.109375" style="451" customWidth="1"/>
    <col min="12551" max="12551" width="13.109375" style="451" customWidth="1"/>
    <col min="12552" max="12552" width="14.33203125" style="451" customWidth="1"/>
    <col min="12553" max="12553" width="10" style="451" customWidth="1"/>
    <col min="12554" max="12554" width="11.5546875" style="451" customWidth="1"/>
    <col min="12555" max="12555" width="11" style="451" customWidth="1"/>
    <col min="12556" max="12556" width="0" style="451" hidden="1" customWidth="1"/>
    <col min="12557" max="12557" width="11.6640625" style="451" customWidth="1"/>
    <col min="12558" max="12559" width="9.109375" style="451"/>
    <col min="12560" max="12560" width="8.88671875" style="451" customWidth="1"/>
    <col min="12561" max="12561" width="10" style="451" customWidth="1"/>
    <col min="12562" max="12562" width="14.33203125" style="451" customWidth="1"/>
    <col min="12563" max="12800" width="9.109375" style="451"/>
    <col min="12801" max="12801" width="4.6640625" style="451" customWidth="1"/>
    <col min="12802" max="12802" width="18.33203125" style="451" customWidth="1"/>
    <col min="12803" max="12803" width="17.6640625" style="451" customWidth="1"/>
    <col min="12804" max="12804" width="22.5546875" style="451" customWidth="1"/>
    <col min="12805" max="12805" width="9.5546875" style="451" customWidth="1"/>
    <col min="12806" max="12806" width="17.109375" style="451" customWidth="1"/>
    <col min="12807" max="12807" width="13.109375" style="451" customWidth="1"/>
    <col min="12808" max="12808" width="14.33203125" style="451" customWidth="1"/>
    <col min="12809" max="12809" width="10" style="451" customWidth="1"/>
    <col min="12810" max="12810" width="11.5546875" style="451" customWidth="1"/>
    <col min="12811" max="12811" width="11" style="451" customWidth="1"/>
    <col min="12812" max="12812" width="0" style="451" hidden="1" customWidth="1"/>
    <col min="12813" max="12813" width="11.6640625" style="451" customWidth="1"/>
    <col min="12814" max="12815" width="9.109375" style="451"/>
    <col min="12816" max="12816" width="8.88671875" style="451" customWidth="1"/>
    <col min="12817" max="12817" width="10" style="451" customWidth="1"/>
    <col min="12818" max="12818" width="14.33203125" style="451" customWidth="1"/>
    <col min="12819" max="13056" width="9.109375" style="451"/>
    <col min="13057" max="13057" width="4.6640625" style="451" customWidth="1"/>
    <col min="13058" max="13058" width="18.33203125" style="451" customWidth="1"/>
    <col min="13059" max="13059" width="17.6640625" style="451" customWidth="1"/>
    <col min="13060" max="13060" width="22.5546875" style="451" customWidth="1"/>
    <col min="13061" max="13061" width="9.5546875" style="451" customWidth="1"/>
    <col min="13062" max="13062" width="17.109375" style="451" customWidth="1"/>
    <col min="13063" max="13063" width="13.109375" style="451" customWidth="1"/>
    <col min="13064" max="13064" width="14.33203125" style="451" customWidth="1"/>
    <col min="13065" max="13065" width="10" style="451" customWidth="1"/>
    <col min="13066" max="13066" width="11.5546875" style="451" customWidth="1"/>
    <col min="13067" max="13067" width="11" style="451" customWidth="1"/>
    <col min="13068" max="13068" width="0" style="451" hidden="1" customWidth="1"/>
    <col min="13069" max="13069" width="11.6640625" style="451" customWidth="1"/>
    <col min="13070" max="13071" width="9.109375" style="451"/>
    <col min="13072" max="13072" width="8.88671875" style="451" customWidth="1"/>
    <col min="13073" max="13073" width="10" style="451" customWidth="1"/>
    <col min="13074" max="13074" width="14.33203125" style="451" customWidth="1"/>
    <col min="13075" max="13312" width="9.109375" style="451"/>
    <col min="13313" max="13313" width="4.6640625" style="451" customWidth="1"/>
    <col min="13314" max="13314" width="18.33203125" style="451" customWidth="1"/>
    <col min="13315" max="13315" width="17.6640625" style="451" customWidth="1"/>
    <col min="13316" max="13316" width="22.5546875" style="451" customWidth="1"/>
    <col min="13317" max="13317" width="9.5546875" style="451" customWidth="1"/>
    <col min="13318" max="13318" width="17.109375" style="451" customWidth="1"/>
    <col min="13319" max="13319" width="13.109375" style="451" customWidth="1"/>
    <col min="13320" max="13320" width="14.33203125" style="451" customWidth="1"/>
    <col min="13321" max="13321" width="10" style="451" customWidth="1"/>
    <col min="13322" max="13322" width="11.5546875" style="451" customWidth="1"/>
    <col min="13323" max="13323" width="11" style="451" customWidth="1"/>
    <col min="13324" max="13324" width="0" style="451" hidden="1" customWidth="1"/>
    <col min="13325" max="13325" width="11.6640625" style="451" customWidth="1"/>
    <col min="13326" max="13327" width="9.109375" style="451"/>
    <col min="13328" max="13328" width="8.88671875" style="451" customWidth="1"/>
    <col min="13329" max="13329" width="10" style="451" customWidth="1"/>
    <col min="13330" max="13330" width="14.33203125" style="451" customWidth="1"/>
    <col min="13331" max="13568" width="9.109375" style="451"/>
    <col min="13569" max="13569" width="4.6640625" style="451" customWidth="1"/>
    <col min="13570" max="13570" width="18.33203125" style="451" customWidth="1"/>
    <col min="13571" max="13571" width="17.6640625" style="451" customWidth="1"/>
    <col min="13572" max="13572" width="22.5546875" style="451" customWidth="1"/>
    <col min="13573" max="13573" width="9.5546875" style="451" customWidth="1"/>
    <col min="13574" max="13574" width="17.109375" style="451" customWidth="1"/>
    <col min="13575" max="13575" width="13.109375" style="451" customWidth="1"/>
    <col min="13576" max="13576" width="14.33203125" style="451" customWidth="1"/>
    <col min="13577" max="13577" width="10" style="451" customWidth="1"/>
    <col min="13578" max="13578" width="11.5546875" style="451" customWidth="1"/>
    <col min="13579" max="13579" width="11" style="451" customWidth="1"/>
    <col min="13580" max="13580" width="0" style="451" hidden="1" customWidth="1"/>
    <col min="13581" max="13581" width="11.6640625" style="451" customWidth="1"/>
    <col min="13582" max="13583" width="9.109375" style="451"/>
    <col min="13584" max="13584" width="8.88671875" style="451" customWidth="1"/>
    <col min="13585" max="13585" width="10" style="451" customWidth="1"/>
    <col min="13586" max="13586" width="14.33203125" style="451" customWidth="1"/>
    <col min="13587" max="13824" width="9.109375" style="451"/>
    <col min="13825" max="13825" width="4.6640625" style="451" customWidth="1"/>
    <col min="13826" max="13826" width="18.33203125" style="451" customWidth="1"/>
    <col min="13827" max="13827" width="17.6640625" style="451" customWidth="1"/>
    <col min="13828" max="13828" width="22.5546875" style="451" customWidth="1"/>
    <col min="13829" max="13829" width="9.5546875" style="451" customWidth="1"/>
    <col min="13830" max="13830" width="17.109375" style="451" customWidth="1"/>
    <col min="13831" max="13831" width="13.109375" style="451" customWidth="1"/>
    <col min="13832" max="13832" width="14.33203125" style="451" customWidth="1"/>
    <col min="13833" max="13833" width="10" style="451" customWidth="1"/>
    <col min="13834" max="13834" width="11.5546875" style="451" customWidth="1"/>
    <col min="13835" max="13835" width="11" style="451" customWidth="1"/>
    <col min="13836" max="13836" width="0" style="451" hidden="1" customWidth="1"/>
    <col min="13837" max="13837" width="11.6640625" style="451" customWidth="1"/>
    <col min="13838" max="13839" width="9.109375" style="451"/>
    <col min="13840" max="13840" width="8.88671875" style="451" customWidth="1"/>
    <col min="13841" max="13841" width="10" style="451" customWidth="1"/>
    <col min="13842" max="13842" width="14.33203125" style="451" customWidth="1"/>
    <col min="13843" max="14080" width="9.109375" style="451"/>
    <col min="14081" max="14081" width="4.6640625" style="451" customWidth="1"/>
    <col min="14082" max="14082" width="18.33203125" style="451" customWidth="1"/>
    <col min="14083" max="14083" width="17.6640625" style="451" customWidth="1"/>
    <col min="14084" max="14084" width="22.5546875" style="451" customWidth="1"/>
    <col min="14085" max="14085" width="9.5546875" style="451" customWidth="1"/>
    <col min="14086" max="14086" width="17.109375" style="451" customWidth="1"/>
    <col min="14087" max="14087" width="13.109375" style="451" customWidth="1"/>
    <col min="14088" max="14088" width="14.33203125" style="451" customWidth="1"/>
    <col min="14089" max="14089" width="10" style="451" customWidth="1"/>
    <col min="14090" max="14090" width="11.5546875" style="451" customWidth="1"/>
    <col min="14091" max="14091" width="11" style="451" customWidth="1"/>
    <col min="14092" max="14092" width="0" style="451" hidden="1" customWidth="1"/>
    <col min="14093" max="14093" width="11.6640625" style="451" customWidth="1"/>
    <col min="14094" max="14095" width="9.109375" style="451"/>
    <col min="14096" max="14096" width="8.88671875" style="451" customWidth="1"/>
    <col min="14097" max="14097" width="10" style="451" customWidth="1"/>
    <col min="14098" max="14098" width="14.33203125" style="451" customWidth="1"/>
    <col min="14099" max="14336" width="9.109375" style="451"/>
    <col min="14337" max="14337" width="4.6640625" style="451" customWidth="1"/>
    <col min="14338" max="14338" width="18.33203125" style="451" customWidth="1"/>
    <col min="14339" max="14339" width="17.6640625" style="451" customWidth="1"/>
    <col min="14340" max="14340" width="22.5546875" style="451" customWidth="1"/>
    <col min="14341" max="14341" width="9.5546875" style="451" customWidth="1"/>
    <col min="14342" max="14342" width="17.109375" style="451" customWidth="1"/>
    <col min="14343" max="14343" width="13.109375" style="451" customWidth="1"/>
    <col min="14344" max="14344" width="14.33203125" style="451" customWidth="1"/>
    <col min="14345" max="14345" width="10" style="451" customWidth="1"/>
    <col min="14346" max="14346" width="11.5546875" style="451" customWidth="1"/>
    <col min="14347" max="14347" width="11" style="451" customWidth="1"/>
    <col min="14348" max="14348" width="0" style="451" hidden="1" customWidth="1"/>
    <col min="14349" max="14349" width="11.6640625" style="451" customWidth="1"/>
    <col min="14350" max="14351" width="9.109375" style="451"/>
    <col min="14352" max="14352" width="8.88671875" style="451" customWidth="1"/>
    <col min="14353" max="14353" width="10" style="451" customWidth="1"/>
    <col min="14354" max="14354" width="14.33203125" style="451" customWidth="1"/>
    <col min="14355" max="14592" width="9.109375" style="451"/>
    <col min="14593" max="14593" width="4.6640625" style="451" customWidth="1"/>
    <col min="14594" max="14594" width="18.33203125" style="451" customWidth="1"/>
    <col min="14595" max="14595" width="17.6640625" style="451" customWidth="1"/>
    <col min="14596" max="14596" width="22.5546875" style="451" customWidth="1"/>
    <col min="14597" max="14597" width="9.5546875" style="451" customWidth="1"/>
    <col min="14598" max="14598" width="17.109375" style="451" customWidth="1"/>
    <col min="14599" max="14599" width="13.109375" style="451" customWidth="1"/>
    <col min="14600" max="14600" width="14.33203125" style="451" customWidth="1"/>
    <col min="14601" max="14601" width="10" style="451" customWidth="1"/>
    <col min="14602" max="14602" width="11.5546875" style="451" customWidth="1"/>
    <col min="14603" max="14603" width="11" style="451" customWidth="1"/>
    <col min="14604" max="14604" width="0" style="451" hidden="1" customWidth="1"/>
    <col min="14605" max="14605" width="11.6640625" style="451" customWidth="1"/>
    <col min="14606" max="14607" width="9.109375" style="451"/>
    <col min="14608" max="14608" width="8.88671875" style="451" customWidth="1"/>
    <col min="14609" max="14609" width="10" style="451" customWidth="1"/>
    <col min="14610" max="14610" width="14.33203125" style="451" customWidth="1"/>
    <col min="14611" max="14848" width="9.109375" style="451"/>
    <col min="14849" max="14849" width="4.6640625" style="451" customWidth="1"/>
    <col min="14850" max="14850" width="18.33203125" style="451" customWidth="1"/>
    <col min="14851" max="14851" width="17.6640625" style="451" customWidth="1"/>
    <col min="14852" max="14852" width="22.5546875" style="451" customWidth="1"/>
    <col min="14853" max="14853" width="9.5546875" style="451" customWidth="1"/>
    <col min="14854" max="14854" width="17.109375" style="451" customWidth="1"/>
    <col min="14855" max="14855" width="13.109375" style="451" customWidth="1"/>
    <col min="14856" max="14856" width="14.33203125" style="451" customWidth="1"/>
    <col min="14857" max="14857" width="10" style="451" customWidth="1"/>
    <col min="14858" max="14858" width="11.5546875" style="451" customWidth="1"/>
    <col min="14859" max="14859" width="11" style="451" customWidth="1"/>
    <col min="14860" max="14860" width="0" style="451" hidden="1" customWidth="1"/>
    <col min="14861" max="14861" width="11.6640625" style="451" customWidth="1"/>
    <col min="14862" max="14863" width="9.109375" style="451"/>
    <col min="14864" max="14864" width="8.88671875" style="451" customWidth="1"/>
    <col min="14865" max="14865" width="10" style="451" customWidth="1"/>
    <col min="14866" max="14866" width="14.33203125" style="451" customWidth="1"/>
    <col min="14867" max="15104" width="9.109375" style="451"/>
    <col min="15105" max="15105" width="4.6640625" style="451" customWidth="1"/>
    <col min="15106" max="15106" width="18.33203125" style="451" customWidth="1"/>
    <col min="15107" max="15107" width="17.6640625" style="451" customWidth="1"/>
    <col min="15108" max="15108" width="22.5546875" style="451" customWidth="1"/>
    <col min="15109" max="15109" width="9.5546875" style="451" customWidth="1"/>
    <col min="15110" max="15110" width="17.109375" style="451" customWidth="1"/>
    <col min="15111" max="15111" width="13.109375" style="451" customWidth="1"/>
    <col min="15112" max="15112" width="14.33203125" style="451" customWidth="1"/>
    <col min="15113" max="15113" width="10" style="451" customWidth="1"/>
    <col min="15114" max="15114" width="11.5546875" style="451" customWidth="1"/>
    <col min="15115" max="15115" width="11" style="451" customWidth="1"/>
    <col min="15116" max="15116" width="0" style="451" hidden="1" customWidth="1"/>
    <col min="15117" max="15117" width="11.6640625" style="451" customWidth="1"/>
    <col min="15118" max="15119" width="9.109375" style="451"/>
    <col min="15120" max="15120" width="8.88671875" style="451" customWidth="1"/>
    <col min="15121" max="15121" width="10" style="451" customWidth="1"/>
    <col min="15122" max="15122" width="14.33203125" style="451" customWidth="1"/>
    <col min="15123" max="15360" width="9.109375" style="451"/>
    <col min="15361" max="15361" width="4.6640625" style="451" customWidth="1"/>
    <col min="15362" max="15362" width="18.33203125" style="451" customWidth="1"/>
    <col min="15363" max="15363" width="17.6640625" style="451" customWidth="1"/>
    <col min="15364" max="15364" width="22.5546875" style="451" customWidth="1"/>
    <col min="15365" max="15365" width="9.5546875" style="451" customWidth="1"/>
    <col min="15366" max="15366" width="17.109375" style="451" customWidth="1"/>
    <col min="15367" max="15367" width="13.109375" style="451" customWidth="1"/>
    <col min="15368" max="15368" width="14.33203125" style="451" customWidth="1"/>
    <col min="15369" max="15369" width="10" style="451" customWidth="1"/>
    <col min="15370" max="15370" width="11.5546875" style="451" customWidth="1"/>
    <col min="15371" max="15371" width="11" style="451" customWidth="1"/>
    <col min="15372" max="15372" width="0" style="451" hidden="1" customWidth="1"/>
    <col min="15373" max="15373" width="11.6640625" style="451" customWidth="1"/>
    <col min="15374" max="15375" width="9.109375" style="451"/>
    <col min="15376" max="15376" width="8.88671875" style="451" customWidth="1"/>
    <col min="15377" max="15377" width="10" style="451" customWidth="1"/>
    <col min="15378" max="15378" width="14.33203125" style="451" customWidth="1"/>
    <col min="15379" max="15616" width="9.109375" style="451"/>
    <col min="15617" max="15617" width="4.6640625" style="451" customWidth="1"/>
    <col min="15618" max="15618" width="18.33203125" style="451" customWidth="1"/>
    <col min="15619" max="15619" width="17.6640625" style="451" customWidth="1"/>
    <col min="15620" max="15620" width="22.5546875" style="451" customWidth="1"/>
    <col min="15621" max="15621" width="9.5546875" style="451" customWidth="1"/>
    <col min="15622" max="15622" width="17.109375" style="451" customWidth="1"/>
    <col min="15623" max="15623" width="13.109375" style="451" customWidth="1"/>
    <col min="15624" max="15624" width="14.33203125" style="451" customWidth="1"/>
    <col min="15625" max="15625" width="10" style="451" customWidth="1"/>
    <col min="15626" max="15626" width="11.5546875" style="451" customWidth="1"/>
    <col min="15627" max="15627" width="11" style="451" customWidth="1"/>
    <col min="15628" max="15628" width="0" style="451" hidden="1" customWidth="1"/>
    <col min="15629" max="15629" width="11.6640625" style="451" customWidth="1"/>
    <col min="15630" max="15631" width="9.109375" style="451"/>
    <col min="15632" max="15632" width="8.88671875" style="451" customWidth="1"/>
    <col min="15633" max="15633" width="10" style="451" customWidth="1"/>
    <col min="15634" max="15634" width="14.33203125" style="451" customWidth="1"/>
    <col min="15635" max="15872" width="9.109375" style="451"/>
    <col min="15873" max="15873" width="4.6640625" style="451" customWidth="1"/>
    <col min="15874" max="15874" width="18.33203125" style="451" customWidth="1"/>
    <col min="15875" max="15875" width="17.6640625" style="451" customWidth="1"/>
    <col min="15876" max="15876" width="22.5546875" style="451" customWidth="1"/>
    <col min="15877" max="15877" width="9.5546875" style="451" customWidth="1"/>
    <col min="15878" max="15878" width="17.109375" style="451" customWidth="1"/>
    <col min="15879" max="15879" width="13.109375" style="451" customWidth="1"/>
    <col min="15880" max="15880" width="14.33203125" style="451" customWidth="1"/>
    <col min="15881" max="15881" width="10" style="451" customWidth="1"/>
    <col min="15882" max="15882" width="11.5546875" style="451" customWidth="1"/>
    <col min="15883" max="15883" width="11" style="451" customWidth="1"/>
    <col min="15884" max="15884" width="0" style="451" hidden="1" customWidth="1"/>
    <col min="15885" max="15885" width="11.6640625" style="451" customWidth="1"/>
    <col min="15886" max="15887" width="9.109375" style="451"/>
    <col min="15888" max="15888" width="8.88671875" style="451" customWidth="1"/>
    <col min="15889" max="15889" width="10" style="451" customWidth="1"/>
    <col min="15890" max="15890" width="14.33203125" style="451" customWidth="1"/>
    <col min="15891" max="16128" width="9.109375" style="451"/>
    <col min="16129" max="16129" width="4.6640625" style="451" customWidth="1"/>
    <col min="16130" max="16130" width="18.33203125" style="451" customWidth="1"/>
    <col min="16131" max="16131" width="17.6640625" style="451" customWidth="1"/>
    <col min="16132" max="16132" width="22.5546875" style="451" customWidth="1"/>
    <col min="16133" max="16133" width="9.5546875" style="451" customWidth="1"/>
    <col min="16134" max="16134" width="17.109375" style="451" customWidth="1"/>
    <col min="16135" max="16135" width="13.109375" style="451" customWidth="1"/>
    <col min="16136" max="16136" width="14.33203125" style="451" customWidth="1"/>
    <col min="16137" max="16137" width="10" style="451" customWidth="1"/>
    <col min="16138" max="16138" width="11.5546875" style="451" customWidth="1"/>
    <col min="16139" max="16139" width="11" style="451" customWidth="1"/>
    <col min="16140" max="16140" width="0" style="451" hidden="1" customWidth="1"/>
    <col min="16141" max="16141" width="11.6640625" style="451" customWidth="1"/>
    <col min="16142" max="16143" width="9.109375" style="451"/>
    <col min="16144" max="16144" width="8.88671875" style="451" customWidth="1"/>
    <col min="16145" max="16145" width="10" style="451" customWidth="1"/>
    <col min="16146" max="16146" width="14.33203125" style="451" customWidth="1"/>
    <col min="16147" max="16384" width="9.109375" style="451"/>
  </cols>
  <sheetData>
    <row r="1" spans="1:35" ht="13.5" customHeight="1" thickBot="1" x14ac:dyDescent="0.3">
      <c r="A1" s="648" t="s">
        <v>598</v>
      </c>
      <c r="B1" s="649"/>
      <c r="C1" s="649"/>
      <c r="D1" s="649"/>
      <c r="E1" s="649"/>
      <c r="AE1" s="650" t="s">
        <v>532</v>
      </c>
      <c r="AF1" s="651"/>
      <c r="AG1" s="50"/>
      <c r="AH1" s="652" t="s">
        <v>533</v>
      </c>
      <c r="AI1" s="653"/>
    </row>
    <row r="2" spans="1:35" ht="24" customHeight="1" thickBot="1" x14ac:dyDescent="0.3">
      <c r="A2" s="648"/>
      <c r="B2" s="649"/>
      <c r="C2" s="649"/>
      <c r="D2" s="649"/>
      <c r="E2" s="649"/>
      <c r="K2" s="489" t="s">
        <v>599</v>
      </c>
      <c r="L2" s="490"/>
      <c r="M2" s="490">
        <v>10000</v>
      </c>
      <c r="N2" s="491" t="s">
        <v>600</v>
      </c>
      <c r="AE2" s="455"/>
      <c r="AF2" s="456"/>
      <c r="AG2" s="50"/>
      <c r="AH2" s="457"/>
      <c r="AI2" s="458"/>
    </row>
    <row r="3" spans="1:35" ht="23.25" customHeight="1" x14ac:dyDescent="0.25">
      <c r="A3" s="648"/>
      <c r="B3" s="649"/>
      <c r="C3" s="649"/>
      <c r="D3" s="649"/>
      <c r="E3" s="649"/>
      <c r="K3" s="492" t="s">
        <v>601</v>
      </c>
      <c r="L3" s="493"/>
      <c r="M3" s="493">
        <v>30</v>
      </c>
      <c r="N3" s="494" t="s">
        <v>602</v>
      </c>
      <c r="AE3" s="455"/>
      <c r="AF3" s="456"/>
      <c r="AG3" s="50"/>
      <c r="AH3" s="457"/>
      <c r="AI3" s="458"/>
    </row>
    <row r="4" spans="1:35" ht="22.5" customHeight="1" x14ac:dyDescent="0.25">
      <c r="A4" s="648" t="str">
        <f>'Identificar riscos'!A4</f>
        <v>Fidelize</v>
      </c>
      <c r="B4" s="649"/>
      <c r="C4" s="649"/>
      <c r="D4" s="649"/>
      <c r="E4" s="649"/>
      <c r="AE4" s="455"/>
      <c r="AF4" s="456"/>
      <c r="AG4" s="50"/>
      <c r="AH4" s="457"/>
      <c r="AI4" s="458"/>
    </row>
    <row r="5" spans="1:35" ht="27" thickBot="1" x14ac:dyDescent="0.3">
      <c r="A5" s="654"/>
      <c r="B5" s="655"/>
      <c r="C5" s="655"/>
      <c r="D5" s="655"/>
      <c r="E5" s="655"/>
      <c r="I5" s="451"/>
      <c r="AE5" s="463" t="s">
        <v>534</v>
      </c>
      <c r="AF5" s="464">
        <v>1</v>
      </c>
      <c r="AG5" s="50"/>
      <c r="AH5" s="463" t="s">
        <v>535</v>
      </c>
      <c r="AI5" s="464">
        <v>1</v>
      </c>
    </row>
    <row r="6" spans="1:35" ht="27" thickBot="1" x14ac:dyDescent="0.3">
      <c r="A6" s="656" t="s">
        <v>536</v>
      </c>
      <c r="B6" s="658" t="s">
        <v>538</v>
      </c>
      <c r="C6" s="659"/>
      <c r="D6" s="660"/>
      <c r="E6" s="671" t="s">
        <v>603</v>
      </c>
      <c r="F6" s="673" t="s">
        <v>604</v>
      </c>
      <c r="G6" s="674"/>
      <c r="H6" s="674"/>
      <c r="I6" s="675"/>
      <c r="J6" s="661" t="s">
        <v>605</v>
      </c>
      <c r="K6" s="466"/>
      <c r="L6" s="661" t="s">
        <v>606</v>
      </c>
      <c r="M6" s="661" t="s">
        <v>607</v>
      </c>
      <c r="AE6" s="467" t="s">
        <v>540</v>
      </c>
      <c r="AF6" s="468">
        <v>2</v>
      </c>
      <c r="AG6" s="50"/>
      <c r="AH6" s="467" t="s">
        <v>541</v>
      </c>
      <c r="AI6" s="468">
        <v>2</v>
      </c>
    </row>
    <row r="7" spans="1:35" s="473" customFormat="1" ht="31.2" thickBot="1" x14ac:dyDescent="0.3">
      <c r="A7" s="657"/>
      <c r="B7" s="470" t="s">
        <v>544</v>
      </c>
      <c r="C7" s="470" t="s">
        <v>545</v>
      </c>
      <c r="D7" s="471" t="s">
        <v>586</v>
      </c>
      <c r="E7" s="672"/>
      <c r="F7" s="495" t="s">
        <v>608</v>
      </c>
      <c r="G7" s="496" t="s">
        <v>609</v>
      </c>
      <c r="H7" s="496" t="s">
        <v>610</v>
      </c>
      <c r="I7" s="497" t="s">
        <v>611</v>
      </c>
      <c r="J7" s="662"/>
      <c r="K7" s="472" t="s">
        <v>547</v>
      </c>
      <c r="L7" s="676"/>
      <c r="M7" s="662"/>
      <c r="AE7" s="467" t="s">
        <v>548</v>
      </c>
      <c r="AF7" s="468">
        <v>3</v>
      </c>
      <c r="AG7" s="50"/>
      <c r="AH7" s="467" t="s">
        <v>549</v>
      </c>
      <c r="AI7" s="468">
        <v>3</v>
      </c>
    </row>
    <row r="8" spans="1:35" ht="51" x14ac:dyDescent="0.25">
      <c r="A8" s="474" t="str">
        <f>IF('Identificar riscos'!A8&lt;&gt;"",'Identificar riscos'!A8,"")</f>
        <v>R01</v>
      </c>
      <c r="B8" s="474" t="str">
        <f>IF('Identificar riscos'!D8&lt;&gt;"",'Identificar riscos'!D8,"")</f>
        <v>Qualidade insatisfatória ou a presença de lacunas/inconsistências na base de dados fictícia do Kit Cannoli.</v>
      </c>
      <c r="C8" s="474" t="str">
        <f>IF('Identificar riscos'!E8&lt;&gt;"",'Identificar riscos'!E8,"")</f>
        <v>Comprometimento da acurácia dos modelos de IA/ML (Alertas e Previsões).</v>
      </c>
      <c r="D8" s="474" t="str">
        <f>IF('Identificar riscos'!F8&lt;&gt;"",'Identificar riscos'!F8,"")</f>
        <v>Falha na entrega de insights confiáveis, resultando em apoio estratégico inadequado para a Cannoli.</v>
      </c>
      <c r="E8" s="498" t="s">
        <v>612</v>
      </c>
      <c r="F8" s="499" t="s">
        <v>613</v>
      </c>
      <c r="G8" s="500" t="s">
        <v>614</v>
      </c>
      <c r="H8" s="501">
        <f>IF(F8&lt;&gt;"",IF(G8&lt;&gt;"",RIGHT(F8,4)*RIGHT(G8,4),""),"")</f>
        <v>2.8699999999999997</v>
      </c>
      <c r="I8" s="502" t="e">
        <f>IF(H8&lt;&gt;"",VLOOKUP(H8,'Sensibilidade ao Risco'!$E$2:$F$5,2,FALSE),"")</f>
        <v>#N/A</v>
      </c>
      <c r="J8" s="475" t="e">
        <f>IF(E8&lt;&gt;"",IF(I8&lt;&gt;"",(RIGHT(I8,3))*(RIGHT(E8,3)),""),"")</f>
        <v>#N/A</v>
      </c>
      <c r="K8" s="503" t="s">
        <v>556</v>
      </c>
      <c r="L8" s="504">
        <f>ROUNDUP('Quantificar os riscos'!F8/'Qualificar os riscos'!$M$2,2)</f>
        <v>1</v>
      </c>
      <c r="M8" s="504">
        <f>ROUNDUP('Quantificar os riscos'!G8/'Qualificar os riscos'!$M$3,2)</f>
        <v>0.17</v>
      </c>
      <c r="AE8" s="479" t="s">
        <v>557</v>
      </c>
      <c r="AF8" s="480">
        <v>4</v>
      </c>
      <c r="AG8" s="481"/>
      <c r="AH8" s="479" t="s">
        <v>558</v>
      </c>
      <c r="AI8" s="480">
        <v>4</v>
      </c>
    </row>
    <row r="9" spans="1:35" ht="72" thickBot="1" x14ac:dyDescent="0.3">
      <c r="A9" s="474" t="str">
        <f>IF('Identificar riscos'!A9&lt;&gt;"",'Identificar riscos'!A9,"")</f>
        <v>R02</v>
      </c>
      <c r="B9" s="474" t="str">
        <f>IF('Identificar riscos'!D9&lt;&gt;"",'Identificar riscos'!D9,"")</f>
        <v>Uso de um modelo simplificado (como Regressão Linear) ou entrada de variáveis defasadas para a funcionalidade de Previsão de Desempenho.</v>
      </c>
      <c r="C9" s="474" t="str">
        <f>IF('Identificar riscos'!E9&lt;&gt;"",'Identificar riscos'!E9,"")</f>
        <v>O modelo de previsão apresentará um erro médio (MAE/RMSE) inaceitável, falhando em estimar valores futuros.</v>
      </c>
      <c r="D9" s="474" t="str">
        <f>IF('Identificar riscos'!F9&lt;&gt;"",'Identificar riscos'!F9,"")</f>
        <v>A previsão será inadequada para apoiar decisões, exigindo o retrabalho do módulo ou sua exclusão do produto final.</v>
      </c>
      <c r="E9" s="498" t="s">
        <v>615</v>
      </c>
      <c r="F9" s="499" t="s">
        <v>616</v>
      </c>
      <c r="G9" s="500" t="s">
        <v>617</v>
      </c>
      <c r="H9" s="501">
        <f>IF(F9&lt;&gt;"",IF(G9&lt;&gt;"",RIGHT(F9,4)*RIGHT(G9,4),""),"")</f>
        <v>3.9600000000000004</v>
      </c>
      <c r="I9" s="502" t="e">
        <f>IF(H9&lt;&gt;"",VLOOKUP(H9,'Sensibilidade ao Risco'!$E$2:$F$5,2,FALSE),"")</f>
        <v>#N/A</v>
      </c>
      <c r="J9" s="475" t="e">
        <f>IF(E9&lt;&gt;"",IF(I9&lt;&gt;"",(RIGHT(I9,3))*(RIGHT(E9,3)),""),"")</f>
        <v>#N/A</v>
      </c>
      <c r="K9" s="475" t="s">
        <v>565</v>
      </c>
      <c r="L9" s="504">
        <f>ROUNDUP('Quantificar os riscos'!F9/'Qualificar os riscos'!$M$2,2)</f>
        <v>1</v>
      </c>
      <c r="M9" s="504">
        <f>ROUNDUP('Quantificar os riscos'!G9/'Qualificar os riscos'!$M$3,2)</f>
        <v>0.17</v>
      </c>
      <c r="AE9" s="482"/>
      <c r="AF9" s="483"/>
      <c r="AG9" s="481"/>
      <c r="AH9" s="479"/>
      <c r="AI9" s="480"/>
    </row>
    <row r="10" spans="1:35" ht="51.6" thickBot="1" x14ac:dyDescent="0.3">
      <c r="A10" s="474" t="str">
        <f>IF('Identificar riscos'!A10&lt;&gt;"",'Identificar riscos'!A10,"")</f>
        <v>R03</v>
      </c>
      <c r="B10" s="474" t="str">
        <f>IF('Identificar riscos'!D10&lt;&gt;"",'Identificar riscos'!D10,"")</f>
        <v>Falha ao implementar controles robustos de segurança e privacidade dos dados.</v>
      </c>
      <c r="C10" s="474" t="str">
        <f>IF('Identificar riscos'!E10&lt;&gt;"",'Identificar riscos'!E10,"")</f>
        <v>Ocorrência de vazamento ou violação de dados de Customer, Order ou Campaign.</v>
      </c>
      <c r="D10" s="474" t="str">
        <f>IF('Identificar riscos'!F10&lt;&gt;"",'Identificar riscos'!F10,"")</f>
        <v>Violação de requisitos não funcionais de segurança, acarretando perda de confiança ou exposição de dados anonimizados.</v>
      </c>
      <c r="E10" s="498" t="s">
        <v>618</v>
      </c>
      <c r="F10" s="499" t="s">
        <v>616</v>
      </c>
      <c r="G10" s="500" t="s">
        <v>624</v>
      </c>
      <c r="H10" s="501">
        <f>IF(F10&lt;&gt;"",IF(G10&lt;&gt;"",RIGHT(F10,4)*RIGHT(G10,4),""),"")</f>
        <v>4.32</v>
      </c>
      <c r="I10" s="502" t="e">
        <f>IF(H10&lt;&gt;"",VLOOKUP(H10,'Sensibilidade ao Risco'!$E$2:$F$5,2,FALSE),"")</f>
        <v>#N/A</v>
      </c>
      <c r="J10" s="475" t="e">
        <f>IF(E10&lt;&gt;"",IF(I10&lt;&gt;"",(RIGHT(I10,3))*(RIGHT(E10,3)),""),"")</f>
        <v>#N/A</v>
      </c>
      <c r="K10" s="475" t="s">
        <v>572</v>
      </c>
      <c r="L10" s="504">
        <f>ROUNDUP('Quantificar os riscos'!F10/'Qualificar os riscos'!$M$2,2)</f>
        <v>4</v>
      </c>
      <c r="M10" s="504">
        <f>ROUNDUP('Quantificar os riscos'!G10/'Qualificar os riscos'!$M$3,2)</f>
        <v>1</v>
      </c>
      <c r="AE10" s="482"/>
      <c r="AF10" s="483"/>
      <c r="AG10" s="481"/>
      <c r="AH10" s="479"/>
      <c r="AI10" s="480"/>
    </row>
    <row r="11" spans="1:35" ht="72" thickBot="1" x14ac:dyDescent="0.3">
      <c r="A11" s="474" t="str">
        <f>IF('Identificar riscos'!A11&lt;&gt;"",'Identificar riscos'!A11,"")</f>
        <v>R04</v>
      </c>
      <c r="B11" s="474" t="str">
        <f>IF('Identificar riscos'!D11&lt;&gt;"",'Identificar riscos'!D11,"")</f>
        <v>Atrasos na entrega de módulos chave, como o Módulo de Pedidos e Canais de Venda, que possuem um prazo específico (23/08/2025 a 02/09/2025).</v>
      </c>
      <c r="C11" s="474" t="str">
        <f>IF('Identificar riscos'!E11&lt;&gt;"",'Identificar riscos'!E11,"")</f>
        <v>O projeto excede as datas de entrega (22/set, 10/nov, 17/11, 25/11).</v>
      </c>
      <c r="D11" s="474" t="str">
        <f>IF('Identificar riscos'!F11&lt;&gt;"",'Identificar riscos'!F11,"")</f>
        <v>O Sistema Final não estará pronto para as apresentações/entregáveis.</v>
      </c>
      <c r="E11" s="498" t="s">
        <v>615</v>
      </c>
      <c r="F11" s="499" t="s">
        <v>620</v>
      </c>
      <c r="G11" s="500" t="s">
        <v>624</v>
      </c>
      <c r="H11" s="501">
        <f>IF(F11&lt;&gt;"",IF(G11&lt;&gt;"",RIGHT(F11,4)*RIGHT(G11,4),""),"")</f>
        <v>2.64</v>
      </c>
      <c r="I11" s="502" t="e">
        <f>IF(H11&lt;&gt;"",VLOOKUP(H11,'Sensibilidade ao Risco'!$E$2:$F$5,2,FALSE),"")</f>
        <v>#N/A</v>
      </c>
      <c r="J11" s="475" t="e">
        <f>IF(E11&lt;&gt;"",IF(I11&lt;&gt;"",(RIGHT(I11,3))*(RIGHT(E11,3)),""),"")</f>
        <v>#N/A</v>
      </c>
      <c r="K11" s="475" t="s">
        <v>579</v>
      </c>
      <c r="L11" s="504">
        <f>ROUNDUP('Quantificar os riscos'!F11/'Qualificar os riscos'!$M$2,2)</f>
        <v>2.5</v>
      </c>
      <c r="M11" s="504" t="e">
        <f>ROUNDUP('Quantificar os riscos'!G11/'Qualificar os riscos'!$M$3,2)</f>
        <v>#VALUE!</v>
      </c>
      <c r="AE11" s="482"/>
      <c r="AF11" s="483"/>
      <c r="AG11" s="481"/>
      <c r="AH11" s="479"/>
      <c r="AI11" s="480"/>
    </row>
    <row r="12" spans="1:35" ht="13.8" thickBot="1" x14ac:dyDescent="0.3">
      <c r="AE12" s="482"/>
      <c r="AF12" s="483"/>
      <c r="AG12" s="481"/>
      <c r="AH12" s="479"/>
      <c r="AI12" s="480"/>
    </row>
    <row r="13" spans="1:35" ht="13.8" thickBot="1" x14ac:dyDescent="0.3">
      <c r="AE13" s="482"/>
      <c r="AF13" s="483"/>
      <c r="AG13" s="481"/>
      <c r="AH13" s="479"/>
      <c r="AI13" s="480"/>
    </row>
    <row r="14" spans="1:35" ht="13.8" thickBot="1" x14ac:dyDescent="0.3">
      <c r="AE14" s="482"/>
      <c r="AF14" s="483"/>
      <c r="AG14" s="481"/>
      <c r="AH14" s="479"/>
      <c r="AI14" s="480"/>
    </row>
    <row r="15" spans="1:35" ht="13.8" thickBot="1" x14ac:dyDescent="0.3">
      <c r="AE15" s="482"/>
      <c r="AF15" s="483"/>
      <c r="AG15" s="481"/>
      <c r="AH15" s="479"/>
      <c r="AI15" s="480"/>
    </row>
    <row r="16" spans="1:35" ht="13.8" thickBot="1" x14ac:dyDescent="0.3">
      <c r="AE16" s="482"/>
      <c r="AF16" s="483"/>
      <c r="AG16" s="481"/>
      <c r="AH16" s="479"/>
      <c r="AI16" s="480"/>
    </row>
    <row r="17" spans="6:35" ht="13.8" thickBot="1" x14ac:dyDescent="0.3">
      <c r="AE17" s="482"/>
      <c r="AF17" s="483"/>
      <c r="AG17" s="481"/>
      <c r="AH17" s="479"/>
      <c r="AI17" s="480"/>
    </row>
    <row r="18" spans="6:35" ht="13.8" thickBot="1" x14ac:dyDescent="0.3">
      <c r="AE18" s="482"/>
      <c r="AF18" s="483"/>
      <c r="AG18" s="481"/>
      <c r="AH18" s="479"/>
      <c r="AI18" s="480"/>
    </row>
    <row r="19" spans="6:35" ht="13.8" thickBot="1" x14ac:dyDescent="0.3">
      <c r="AE19" s="482"/>
      <c r="AF19" s="483"/>
      <c r="AG19" s="481"/>
      <c r="AH19" s="479"/>
      <c r="AI19" s="480"/>
    </row>
    <row r="31" spans="6:35" ht="20.399999999999999" x14ac:dyDescent="0.25">
      <c r="F31" s="505" t="s">
        <v>619</v>
      </c>
      <c r="G31" s="505" t="s">
        <v>614</v>
      </c>
      <c r="H31" s="505" t="s">
        <v>615</v>
      </c>
    </row>
    <row r="32" spans="6:35" ht="20.399999999999999" x14ac:dyDescent="0.25">
      <c r="F32" s="505" t="s">
        <v>620</v>
      </c>
      <c r="G32" s="505" t="s">
        <v>621</v>
      </c>
      <c r="H32" s="505" t="s">
        <v>622</v>
      </c>
    </row>
    <row r="33" spans="6:8" ht="20.399999999999999" x14ac:dyDescent="0.25">
      <c r="F33" s="505" t="s">
        <v>623</v>
      </c>
      <c r="G33" s="505" t="s">
        <v>617</v>
      </c>
      <c r="H33" s="505" t="s">
        <v>618</v>
      </c>
    </row>
    <row r="34" spans="6:8" ht="20.399999999999999" x14ac:dyDescent="0.25">
      <c r="F34" s="505" t="s">
        <v>613</v>
      </c>
      <c r="G34" s="505" t="s">
        <v>624</v>
      </c>
      <c r="H34" s="505" t="s">
        <v>612</v>
      </c>
    </row>
    <row r="35" spans="6:8" ht="20.399999999999999" x14ac:dyDescent="0.25">
      <c r="F35" s="505" t="s">
        <v>616</v>
      </c>
      <c r="G35" s="505" t="s">
        <v>625</v>
      </c>
      <c r="H35" s="505" t="s">
        <v>626</v>
      </c>
    </row>
  </sheetData>
  <autoFilter ref="A6:J11" xr:uid="{F20843E1-1918-4EAD-B926-625F07DF0632}">
    <filterColumn colId="1" showButton="0"/>
    <filterColumn colId="2" showButton="0"/>
    <filterColumn colId="8" showButton="0"/>
  </autoFilter>
  <mergeCells count="11">
    <mergeCell ref="M6:M7"/>
    <mergeCell ref="A1:E3"/>
    <mergeCell ref="AE1:AF1"/>
    <mergeCell ref="AH1:AI1"/>
    <mergeCell ref="A4:E5"/>
    <mergeCell ref="A6:A7"/>
    <mergeCell ref="B6:D6"/>
    <mergeCell ref="E6:E7"/>
    <mergeCell ref="F6:I6"/>
    <mergeCell ref="J6:J7"/>
    <mergeCell ref="L6:L7"/>
  </mergeCells>
  <conditionalFormatting sqref="J8:J11">
    <cfRule type="cellIs" dxfId="5" priority="1" stopIfTrue="1" operator="between">
      <formula>0.005</formula>
      <formula>0.04</formula>
    </cfRule>
    <cfRule type="cellIs" dxfId="4" priority="2" stopIfTrue="1" operator="between">
      <formula>0.05</formula>
      <formula>0.17</formula>
    </cfRule>
    <cfRule type="cellIs" dxfId="3" priority="3" stopIfTrue="1" operator="between">
      <formula>0.18</formula>
      <formula>0.81</formula>
    </cfRule>
  </conditionalFormatting>
  <dataValidations count="3">
    <dataValidation type="list" allowBlank="1" showInputMessage="1" showErrorMessage="1" sqref="E8:E11 JA8:JA11 SW8:SW11 ACS8:ACS11 AMO8:AMO11 AWK8:AWK11 BGG8:BGG11 BQC8:BQC11 BZY8:BZY11 CJU8:CJU11 CTQ8:CTQ11 DDM8:DDM11 DNI8:DNI11 DXE8:DXE11 EHA8:EHA11 EQW8:EQW11 FAS8:FAS11 FKO8:FKO11 FUK8:FUK11 GEG8:GEG11 GOC8:GOC11 GXY8:GXY11 HHU8:HHU11 HRQ8:HRQ11 IBM8:IBM11 ILI8:ILI11 IVE8:IVE11 JFA8:JFA11 JOW8:JOW11 JYS8:JYS11 KIO8:KIO11 KSK8:KSK11 LCG8:LCG11 LMC8:LMC11 LVY8:LVY11 MFU8:MFU11 MPQ8:MPQ11 MZM8:MZM11 NJI8:NJI11 NTE8:NTE11 ODA8:ODA11 OMW8:OMW11 OWS8:OWS11 PGO8:PGO11 PQK8:PQK11 QAG8:QAG11 QKC8:QKC11 QTY8:QTY11 RDU8:RDU11 RNQ8:RNQ11 RXM8:RXM11 SHI8:SHI11 SRE8:SRE11 TBA8:TBA11 TKW8:TKW11 TUS8:TUS11 UEO8:UEO11 UOK8:UOK11 UYG8:UYG11 VIC8:VIC11 VRY8:VRY11 WBU8:WBU11 WLQ8:WLQ11 WVM8:WVM11 E65544:E65547 JA65544:JA65547 SW65544:SW65547 ACS65544:ACS65547 AMO65544:AMO65547 AWK65544:AWK65547 BGG65544:BGG65547 BQC65544:BQC65547 BZY65544:BZY65547 CJU65544:CJU65547 CTQ65544:CTQ65547 DDM65544:DDM65547 DNI65544:DNI65547 DXE65544:DXE65547 EHA65544:EHA65547 EQW65544:EQW65547 FAS65544:FAS65547 FKO65544:FKO65547 FUK65544:FUK65547 GEG65544:GEG65547 GOC65544:GOC65547 GXY65544:GXY65547 HHU65544:HHU65547 HRQ65544:HRQ65547 IBM65544:IBM65547 ILI65544:ILI65547 IVE65544:IVE65547 JFA65544:JFA65547 JOW65544:JOW65547 JYS65544:JYS65547 KIO65544:KIO65547 KSK65544:KSK65547 LCG65544:LCG65547 LMC65544:LMC65547 LVY65544:LVY65547 MFU65544:MFU65547 MPQ65544:MPQ65547 MZM65544:MZM65547 NJI65544:NJI65547 NTE65544:NTE65547 ODA65544:ODA65547 OMW65544:OMW65547 OWS65544:OWS65547 PGO65544:PGO65547 PQK65544:PQK65547 QAG65544:QAG65547 QKC65544:QKC65547 QTY65544:QTY65547 RDU65544:RDU65547 RNQ65544:RNQ65547 RXM65544:RXM65547 SHI65544:SHI65547 SRE65544:SRE65547 TBA65544:TBA65547 TKW65544:TKW65547 TUS65544:TUS65547 UEO65544:UEO65547 UOK65544:UOK65547 UYG65544:UYG65547 VIC65544:VIC65547 VRY65544:VRY65547 WBU65544:WBU65547 WLQ65544:WLQ65547 WVM65544:WVM65547 E131080:E131083 JA131080:JA131083 SW131080:SW131083 ACS131080:ACS131083 AMO131080:AMO131083 AWK131080:AWK131083 BGG131080:BGG131083 BQC131080:BQC131083 BZY131080:BZY131083 CJU131080:CJU131083 CTQ131080:CTQ131083 DDM131080:DDM131083 DNI131080:DNI131083 DXE131080:DXE131083 EHA131080:EHA131083 EQW131080:EQW131083 FAS131080:FAS131083 FKO131080:FKO131083 FUK131080:FUK131083 GEG131080:GEG131083 GOC131080:GOC131083 GXY131080:GXY131083 HHU131080:HHU131083 HRQ131080:HRQ131083 IBM131080:IBM131083 ILI131080:ILI131083 IVE131080:IVE131083 JFA131080:JFA131083 JOW131080:JOW131083 JYS131080:JYS131083 KIO131080:KIO131083 KSK131080:KSK131083 LCG131080:LCG131083 LMC131080:LMC131083 LVY131080:LVY131083 MFU131080:MFU131083 MPQ131080:MPQ131083 MZM131080:MZM131083 NJI131080:NJI131083 NTE131080:NTE131083 ODA131080:ODA131083 OMW131080:OMW131083 OWS131080:OWS131083 PGO131080:PGO131083 PQK131080:PQK131083 QAG131080:QAG131083 QKC131080:QKC131083 QTY131080:QTY131083 RDU131080:RDU131083 RNQ131080:RNQ131083 RXM131080:RXM131083 SHI131080:SHI131083 SRE131080:SRE131083 TBA131080:TBA131083 TKW131080:TKW131083 TUS131080:TUS131083 UEO131080:UEO131083 UOK131080:UOK131083 UYG131080:UYG131083 VIC131080:VIC131083 VRY131080:VRY131083 WBU131080:WBU131083 WLQ131080:WLQ131083 WVM131080:WVM131083 E196616:E196619 JA196616:JA196619 SW196616:SW196619 ACS196616:ACS196619 AMO196616:AMO196619 AWK196616:AWK196619 BGG196616:BGG196619 BQC196616:BQC196619 BZY196616:BZY196619 CJU196616:CJU196619 CTQ196616:CTQ196619 DDM196616:DDM196619 DNI196616:DNI196619 DXE196616:DXE196619 EHA196616:EHA196619 EQW196616:EQW196619 FAS196616:FAS196619 FKO196616:FKO196619 FUK196616:FUK196619 GEG196616:GEG196619 GOC196616:GOC196619 GXY196616:GXY196619 HHU196616:HHU196619 HRQ196616:HRQ196619 IBM196616:IBM196619 ILI196616:ILI196619 IVE196616:IVE196619 JFA196616:JFA196619 JOW196616:JOW196619 JYS196616:JYS196619 KIO196616:KIO196619 KSK196616:KSK196619 LCG196616:LCG196619 LMC196616:LMC196619 LVY196616:LVY196619 MFU196616:MFU196619 MPQ196616:MPQ196619 MZM196616:MZM196619 NJI196616:NJI196619 NTE196616:NTE196619 ODA196616:ODA196619 OMW196616:OMW196619 OWS196616:OWS196619 PGO196616:PGO196619 PQK196616:PQK196619 QAG196616:QAG196619 QKC196616:QKC196619 QTY196616:QTY196619 RDU196616:RDU196619 RNQ196616:RNQ196619 RXM196616:RXM196619 SHI196616:SHI196619 SRE196616:SRE196619 TBA196616:TBA196619 TKW196616:TKW196619 TUS196616:TUS196619 UEO196616:UEO196619 UOK196616:UOK196619 UYG196616:UYG196619 VIC196616:VIC196619 VRY196616:VRY196619 WBU196616:WBU196619 WLQ196616:WLQ196619 WVM196616:WVM196619 E262152:E262155 JA262152:JA262155 SW262152:SW262155 ACS262152:ACS262155 AMO262152:AMO262155 AWK262152:AWK262155 BGG262152:BGG262155 BQC262152:BQC262155 BZY262152:BZY262155 CJU262152:CJU262155 CTQ262152:CTQ262155 DDM262152:DDM262155 DNI262152:DNI262155 DXE262152:DXE262155 EHA262152:EHA262155 EQW262152:EQW262155 FAS262152:FAS262155 FKO262152:FKO262155 FUK262152:FUK262155 GEG262152:GEG262155 GOC262152:GOC262155 GXY262152:GXY262155 HHU262152:HHU262155 HRQ262152:HRQ262155 IBM262152:IBM262155 ILI262152:ILI262155 IVE262152:IVE262155 JFA262152:JFA262155 JOW262152:JOW262155 JYS262152:JYS262155 KIO262152:KIO262155 KSK262152:KSK262155 LCG262152:LCG262155 LMC262152:LMC262155 LVY262152:LVY262155 MFU262152:MFU262155 MPQ262152:MPQ262155 MZM262152:MZM262155 NJI262152:NJI262155 NTE262152:NTE262155 ODA262152:ODA262155 OMW262152:OMW262155 OWS262152:OWS262155 PGO262152:PGO262155 PQK262152:PQK262155 QAG262152:QAG262155 QKC262152:QKC262155 QTY262152:QTY262155 RDU262152:RDU262155 RNQ262152:RNQ262155 RXM262152:RXM262155 SHI262152:SHI262155 SRE262152:SRE262155 TBA262152:TBA262155 TKW262152:TKW262155 TUS262152:TUS262155 UEO262152:UEO262155 UOK262152:UOK262155 UYG262152:UYG262155 VIC262152:VIC262155 VRY262152:VRY262155 WBU262152:WBU262155 WLQ262152:WLQ262155 WVM262152:WVM262155 E327688:E327691 JA327688:JA327691 SW327688:SW327691 ACS327688:ACS327691 AMO327688:AMO327691 AWK327688:AWK327691 BGG327688:BGG327691 BQC327688:BQC327691 BZY327688:BZY327691 CJU327688:CJU327691 CTQ327688:CTQ327691 DDM327688:DDM327691 DNI327688:DNI327691 DXE327688:DXE327691 EHA327688:EHA327691 EQW327688:EQW327691 FAS327688:FAS327691 FKO327688:FKO327691 FUK327688:FUK327691 GEG327688:GEG327691 GOC327688:GOC327691 GXY327688:GXY327691 HHU327688:HHU327691 HRQ327688:HRQ327691 IBM327688:IBM327691 ILI327688:ILI327691 IVE327688:IVE327691 JFA327688:JFA327691 JOW327688:JOW327691 JYS327688:JYS327691 KIO327688:KIO327691 KSK327688:KSK327691 LCG327688:LCG327691 LMC327688:LMC327691 LVY327688:LVY327691 MFU327688:MFU327691 MPQ327688:MPQ327691 MZM327688:MZM327691 NJI327688:NJI327691 NTE327688:NTE327691 ODA327688:ODA327691 OMW327688:OMW327691 OWS327688:OWS327691 PGO327688:PGO327691 PQK327688:PQK327691 QAG327688:QAG327691 QKC327688:QKC327691 QTY327688:QTY327691 RDU327688:RDU327691 RNQ327688:RNQ327691 RXM327688:RXM327691 SHI327688:SHI327691 SRE327688:SRE327691 TBA327688:TBA327691 TKW327688:TKW327691 TUS327688:TUS327691 UEO327688:UEO327691 UOK327688:UOK327691 UYG327688:UYG327691 VIC327688:VIC327691 VRY327688:VRY327691 WBU327688:WBU327691 WLQ327688:WLQ327691 WVM327688:WVM327691 E393224:E393227 JA393224:JA393227 SW393224:SW393227 ACS393224:ACS393227 AMO393224:AMO393227 AWK393224:AWK393227 BGG393224:BGG393227 BQC393224:BQC393227 BZY393224:BZY393227 CJU393224:CJU393227 CTQ393224:CTQ393227 DDM393224:DDM393227 DNI393224:DNI393227 DXE393224:DXE393227 EHA393224:EHA393227 EQW393224:EQW393227 FAS393224:FAS393227 FKO393224:FKO393227 FUK393224:FUK393227 GEG393224:GEG393227 GOC393224:GOC393227 GXY393224:GXY393227 HHU393224:HHU393227 HRQ393224:HRQ393227 IBM393224:IBM393227 ILI393224:ILI393227 IVE393224:IVE393227 JFA393224:JFA393227 JOW393224:JOW393227 JYS393224:JYS393227 KIO393224:KIO393227 KSK393224:KSK393227 LCG393224:LCG393227 LMC393224:LMC393227 LVY393224:LVY393227 MFU393224:MFU393227 MPQ393224:MPQ393227 MZM393224:MZM393227 NJI393224:NJI393227 NTE393224:NTE393227 ODA393224:ODA393227 OMW393224:OMW393227 OWS393224:OWS393227 PGO393224:PGO393227 PQK393224:PQK393227 QAG393224:QAG393227 QKC393224:QKC393227 QTY393224:QTY393227 RDU393224:RDU393227 RNQ393224:RNQ393227 RXM393224:RXM393227 SHI393224:SHI393227 SRE393224:SRE393227 TBA393224:TBA393227 TKW393224:TKW393227 TUS393224:TUS393227 UEO393224:UEO393227 UOK393224:UOK393227 UYG393224:UYG393227 VIC393224:VIC393227 VRY393224:VRY393227 WBU393224:WBU393227 WLQ393224:WLQ393227 WVM393224:WVM393227 E458760:E458763 JA458760:JA458763 SW458760:SW458763 ACS458760:ACS458763 AMO458760:AMO458763 AWK458760:AWK458763 BGG458760:BGG458763 BQC458760:BQC458763 BZY458760:BZY458763 CJU458760:CJU458763 CTQ458760:CTQ458763 DDM458760:DDM458763 DNI458760:DNI458763 DXE458760:DXE458763 EHA458760:EHA458763 EQW458760:EQW458763 FAS458760:FAS458763 FKO458760:FKO458763 FUK458760:FUK458763 GEG458760:GEG458763 GOC458760:GOC458763 GXY458760:GXY458763 HHU458760:HHU458763 HRQ458760:HRQ458763 IBM458760:IBM458763 ILI458760:ILI458763 IVE458760:IVE458763 JFA458760:JFA458763 JOW458760:JOW458763 JYS458760:JYS458763 KIO458760:KIO458763 KSK458760:KSK458763 LCG458760:LCG458763 LMC458760:LMC458763 LVY458760:LVY458763 MFU458760:MFU458763 MPQ458760:MPQ458763 MZM458760:MZM458763 NJI458760:NJI458763 NTE458760:NTE458763 ODA458760:ODA458763 OMW458760:OMW458763 OWS458760:OWS458763 PGO458760:PGO458763 PQK458760:PQK458763 QAG458760:QAG458763 QKC458760:QKC458763 QTY458760:QTY458763 RDU458760:RDU458763 RNQ458760:RNQ458763 RXM458760:RXM458763 SHI458760:SHI458763 SRE458760:SRE458763 TBA458760:TBA458763 TKW458760:TKW458763 TUS458760:TUS458763 UEO458760:UEO458763 UOK458760:UOK458763 UYG458760:UYG458763 VIC458760:VIC458763 VRY458760:VRY458763 WBU458760:WBU458763 WLQ458760:WLQ458763 WVM458760:WVM458763 E524296:E524299 JA524296:JA524299 SW524296:SW524299 ACS524296:ACS524299 AMO524296:AMO524299 AWK524296:AWK524299 BGG524296:BGG524299 BQC524296:BQC524299 BZY524296:BZY524299 CJU524296:CJU524299 CTQ524296:CTQ524299 DDM524296:DDM524299 DNI524296:DNI524299 DXE524296:DXE524299 EHA524296:EHA524299 EQW524296:EQW524299 FAS524296:FAS524299 FKO524296:FKO524299 FUK524296:FUK524299 GEG524296:GEG524299 GOC524296:GOC524299 GXY524296:GXY524299 HHU524296:HHU524299 HRQ524296:HRQ524299 IBM524296:IBM524299 ILI524296:ILI524299 IVE524296:IVE524299 JFA524296:JFA524299 JOW524296:JOW524299 JYS524296:JYS524299 KIO524296:KIO524299 KSK524296:KSK524299 LCG524296:LCG524299 LMC524296:LMC524299 LVY524296:LVY524299 MFU524296:MFU524299 MPQ524296:MPQ524299 MZM524296:MZM524299 NJI524296:NJI524299 NTE524296:NTE524299 ODA524296:ODA524299 OMW524296:OMW524299 OWS524296:OWS524299 PGO524296:PGO524299 PQK524296:PQK524299 QAG524296:QAG524299 QKC524296:QKC524299 QTY524296:QTY524299 RDU524296:RDU524299 RNQ524296:RNQ524299 RXM524296:RXM524299 SHI524296:SHI524299 SRE524296:SRE524299 TBA524296:TBA524299 TKW524296:TKW524299 TUS524296:TUS524299 UEO524296:UEO524299 UOK524296:UOK524299 UYG524296:UYG524299 VIC524296:VIC524299 VRY524296:VRY524299 WBU524296:WBU524299 WLQ524296:WLQ524299 WVM524296:WVM524299 E589832:E589835 JA589832:JA589835 SW589832:SW589835 ACS589832:ACS589835 AMO589832:AMO589835 AWK589832:AWK589835 BGG589832:BGG589835 BQC589832:BQC589835 BZY589832:BZY589835 CJU589832:CJU589835 CTQ589832:CTQ589835 DDM589832:DDM589835 DNI589832:DNI589835 DXE589832:DXE589835 EHA589832:EHA589835 EQW589832:EQW589835 FAS589832:FAS589835 FKO589832:FKO589835 FUK589832:FUK589835 GEG589832:GEG589835 GOC589832:GOC589835 GXY589832:GXY589835 HHU589832:HHU589835 HRQ589832:HRQ589835 IBM589832:IBM589835 ILI589832:ILI589835 IVE589832:IVE589835 JFA589832:JFA589835 JOW589832:JOW589835 JYS589832:JYS589835 KIO589832:KIO589835 KSK589832:KSK589835 LCG589832:LCG589835 LMC589832:LMC589835 LVY589832:LVY589835 MFU589832:MFU589835 MPQ589832:MPQ589835 MZM589832:MZM589835 NJI589832:NJI589835 NTE589832:NTE589835 ODA589832:ODA589835 OMW589832:OMW589835 OWS589832:OWS589835 PGO589832:PGO589835 PQK589832:PQK589835 QAG589832:QAG589835 QKC589832:QKC589835 QTY589832:QTY589835 RDU589832:RDU589835 RNQ589832:RNQ589835 RXM589832:RXM589835 SHI589832:SHI589835 SRE589832:SRE589835 TBA589832:TBA589835 TKW589832:TKW589835 TUS589832:TUS589835 UEO589832:UEO589835 UOK589832:UOK589835 UYG589832:UYG589835 VIC589832:VIC589835 VRY589832:VRY589835 WBU589832:WBU589835 WLQ589832:WLQ589835 WVM589832:WVM589835 E655368:E655371 JA655368:JA655371 SW655368:SW655371 ACS655368:ACS655371 AMO655368:AMO655371 AWK655368:AWK655371 BGG655368:BGG655371 BQC655368:BQC655371 BZY655368:BZY655371 CJU655368:CJU655371 CTQ655368:CTQ655371 DDM655368:DDM655371 DNI655368:DNI655371 DXE655368:DXE655371 EHA655368:EHA655371 EQW655368:EQW655371 FAS655368:FAS655371 FKO655368:FKO655371 FUK655368:FUK655371 GEG655368:GEG655371 GOC655368:GOC655371 GXY655368:GXY655371 HHU655368:HHU655371 HRQ655368:HRQ655371 IBM655368:IBM655371 ILI655368:ILI655371 IVE655368:IVE655371 JFA655368:JFA655371 JOW655368:JOW655371 JYS655368:JYS655371 KIO655368:KIO655371 KSK655368:KSK655371 LCG655368:LCG655371 LMC655368:LMC655371 LVY655368:LVY655371 MFU655368:MFU655371 MPQ655368:MPQ655371 MZM655368:MZM655371 NJI655368:NJI655371 NTE655368:NTE655371 ODA655368:ODA655371 OMW655368:OMW655371 OWS655368:OWS655371 PGO655368:PGO655371 PQK655368:PQK655371 QAG655368:QAG655371 QKC655368:QKC655371 QTY655368:QTY655371 RDU655368:RDU655371 RNQ655368:RNQ655371 RXM655368:RXM655371 SHI655368:SHI655371 SRE655368:SRE655371 TBA655368:TBA655371 TKW655368:TKW655371 TUS655368:TUS655371 UEO655368:UEO655371 UOK655368:UOK655371 UYG655368:UYG655371 VIC655368:VIC655371 VRY655368:VRY655371 WBU655368:WBU655371 WLQ655368:WLQ655371 WVM655368:WVM655371 E720904:E720907 JA720904:JA720907 SW720904:SW720907 ACS720904:ACS720907 AMO720904:AMO720907 AWK720904:AWK720907 BGG720904:BGG720907 BQC720904:BQC720907 BZY720904:BZY720907 CJU720904:CJU720907 CTQ720904:CTQ720907 DDM720904:DDM720907 DNI720904:DNI720907 DXE720904:DXE720907 EHA720904:EHA720907 EQW720904:EQW720907 FAS720904:FAS720907 FKO720904:FKO720907 FUK720904:FUK720907 GEG720904:GEG720907 GOC720904:GOC720907 GXY720904:GXY720907 HHU720904:HHU720907 HRQ720904:HRQ720907 IBM720904:IBM720907 ILI720904:ILI720907 IVE720904:IVE720907 JFA720904:JFA720907 JOW720904:JOW720907 JYS720904:JYS720907 KIO720904:KIO720907 KSK720904:KSK720907 LCG720904:LCG720907 LMC720904:LMC720907 LVY720904:LVY720907 MFU720904:MFU720907 MPQ720904:MPQ720907 MZM720904:MZM720907 NJI720904:NJI720907 NTE720904:NTE720907 ODA720904:ODA720907 OMW720904:OMW720907 OWS720904:OWS720907 PGO720904:PGO720907 PQK720904:PQK720907 QAG720904:QAG720907 QKC720904:QKC720907 QTY720904:QTY720907 RDU720904:RDU720907 RNQ720904:RNQ720907 RXM720904:RXM720907 SHI720904:SHI720907 SRE720904:SRE720907 TBA720904:TBA720907 TKW720904:TKW720907 TUS720904:TUS720907 UEO720904:UEO720907 UOK720904:UOK720907 UYG720904:UYG720907 VIC720904:VIC720907 VRY720904:VRY720907 WBU720904:WBU720907 WLQ720904:WLQ720907 WVM720904:WVM720907 E786440:E786443 JA786440:JA786443 SW786440:SW786443 ACS786440:ACS786443 AMO786440:AMO786443 AWK786440:AWK786443 BGG786440:BGG786443 BQC786440:BQC786443 BZY786440:BZY786443 CJU786440:CJU786443 CTQ786440:CTQ786443 DDM786440:DDM786443 DNI786440:DNI786443 DXE786440:DXE786443 EHA786440:EHA786443 EQW786440:EQW786443 FAS786440:FAS786443 FKO786440:FKO786443 FUK786440:FUK786443 GEG786440:GEG786443 GOC786440:GOC786443 GXY786440:GXY786443 HHU786440:HHU786443 HRQ786440:HRQ786443 IBM786440:IBM786443 ILI786440:ILI786443 IVE786440:IVE786443 JFA786440:JFA786443 JOW786440:JOW786443 JYS786440:JYS786443 KIO786440:KIO786443 KSK786440:KSK786443 LCG786440:LCG786443 LMC786440:LMC786443 LVY786440:LVY786443 MFU786440:MFU786443 MPQ786440:MPQ786443 MZM786440:MZM786443 NJI786440:NJI786443 NTE786440:NTE786443 ODA786440:ODA786443 OMW786440:OMW786443 OWS786440:OWS786443 PGO786440:PGO786443 PQK786440:PQK786443 QAG786440:QAG786443 QKC786440:QKC786443 QTY786440:QTY786443 RDU786440:RDU786443 RNQ786440:RNQ786443 RXM786440:RXM786443 SHI786440:SHI786443 SRE786440:SRE786443 TBA786440:TBA786443 TKW786440:TKW786443 TUS786440:TUS786443 UEO786440:UEO786443 UOK786440:UOK786443 UYG786440:UYG786443 VIC786440:VIC786443 VRY786440:VRY786443 WBU786440:WBU786443 WLQ786440:WLQ786443 WVM786440:WVM786443 E851976:E851979 JA851976:JA851979 SW851976:SW851979 ACS851976:ACS851979 AMO851976:AMO851979 AWK851976:AWK851979 BGG851976:BGG851979 BQC851976:BQC851979 BZY851976:BZY851979 CJU851976:CJU851979 CTQ851976:CTQ851979 DDM851976:DDM851979 DNI851976:DNI851979 DXE851976:DXE851979 EHA851976:EHA851979 EQW851976:EQW851979 FAS851976:FAS851979 FKO851976:FKO851979 FUK851976:FUK851979 GEG851976:GEG851979 GOC851976:GOC851979 GXY851976:GXY851979 HHU851976:HHU851979 HRQ851976:HRQ851979 IBM851976:IBM851979 ILI851976:ILI851979 IVE851976:IVE851979 JFA851976:JFA851979 JOW851976:JOW851979 JYS851976:JYS851979 KIO851976:KIO851979 KSK851976:KSK851979 LCG851976:LCG851979 LMC851976:LMC851979 LVY851976:LVY851979 MFU851976:MFU851979 MPQ851976:MPQ851979 MZM851976:MZM851979 NJI851976:NJI851979 NTE851976:NTE851979 ODA851976:ODA851979 OMW851976:OMW851979 OWS851976:OWS851979 PGO851976:PGO851979 PQK851976:PQK851979 QAG851976:QAG851979 QKC851976:QKC851979 QTY851976:QTY851979 RDU851976:RDU851979 RNQ851976:RNQ851979 RXM851976:RXM851979 SHI851976:SHI851979 SRE851976:SRE851979 TBA851976:TBA851979 TKW851976:TKW851979 TUS851976:TUS851979 UEO851976:UEO851979 UOK851976:UOK851979 UYG851976:UYG851979 VIC851976:VIC851979 VRY851976:VRY851979 WBU851976:WBU851979 WLQ851976:WLQ851979 WVM851976:WVM851979 E917512:E917515 JA917512:JA917515 SW917512:SW917515 ACS917512:ACS917515 AMO917512:AMO917515 AWK917512:AWK917515 BGG917512:BGG917515 BQC917512:BQC917515 BZY917512:BZY917515 CJU917512:CJU917515 CTQ917512:CTQ917515 DDM917512:DDM917515 DNI917512:DNI917515 DXE917512:DXE917515 EHA917512:EHA917515 EQW917512:EQW917515 FAS917512:FAS917515 FKO917512:FKO917515 FUK917512:FUK917515 GEG917512:GEG917515 GOC917512:GOC917515 GXY917512:GXY917515 HHU917512:HHU917515 HRQ917512:HRQ917515 IBM917512:IBM917515 ILI917512:ILI917515 IVE917512:IVE917515 JFA917512:JFA917515 JOW917512:JOW917515 JYS917512:JYS917515 KIO917512:KIO917515 KSK917512:KSK917515 LCG917512:LCG917515 LMC917512:LMC917515 LVY917512:LVY917515 MFU917512:MFU917515 MPQ917512:MPQ917515 MZM917512:MZM917515 NJI917512:NJI917515 NTE917512:NTE917515 ODA917512:ODA917515 OMW917512:OMW917515 OWS917512:OWS917515 PGO917512:PGO917515 PQK917512:PQK917515 QAG917512:QAG917515 QKC917512:QKC917515 QTY917512:QTY917515 RDU917512:RDU917515 RNQ917512:RNQ917515 RXM917512:RXM917515 SHI917512:SHI917515 SRE917512:SRE917515 TBA917512:TBA917515 TKW917512:TKW917515 TUS917512:TUS917515 UEO917512:UEO917515 UOK917512:UOK917515 UYG917512:UYG917515 VIC917512:VIC917515 VRY917512:VRY917515 WBU917512:WBU917515 WLQ917512:WLQ917515 WVM917512:WVM917515 E983048:E983051 JA983048:JA983051 SW983048:SW983051 ACS983048:ACS983051 AMO983048:AMO983051 AWK983048:AWK983051 BGG983048:BGG983051 BQC983048:BQC983051 BZY983048:BZY983051 CJU983048:CJU983051 CTQ983048:CTQ983051 DDM983048:DDM983051 DNI983048:DNI983051 DXE983048:DXE983051 EHA983048:EHA983051 EQW983048:EQW983051 FAS983048:FAS983051 FKO983048:FKO983051 FUK983048:FUK983051 GEG983048:GEG983051 GOC983048:GOC983051 GXY983048:GXY983051 HHU983048:HHU983051 HRQ983048:HRQ983051 IBM983048:IBM983051 ILI983048:ILI983051 IVE983048:IVE983051 JFA983048:JFA983051 JOW983048:JOW983051 JYS983048:JYS983051 KIO983048:KIO983051 KSK983048:KSK983051 LCG983048:LCG983051 LMC983048:LMC983051 LVY983048:LVY983051 MFU983048:MFU983051 MPQ983048:MPQ983051 MZM983048:MZM983051 NJI983048:NJI983051 NTE983048:NTE983051 ODA983048:ODA983051 OMW983048:OMW983051 OWS983048:OWS983051 PGO983048:PGO983051 PQK983048:PQK983051 QAG983048:QAG983051 QKC983048:QKC983051 QTY983048:QTY983051 RDU983048:RDU983051 RNQ983048:RNQ983051 RXM983048:RXM983051 SHI983048:SHI983051 SRE983048:SRE983051 TBA983048:TBA983051 TKW983048:TKW983051 TUS983048:TUS983051 UEO983048:UEO983051 UOK983048:UOK983051 UYG983048:UYG983051 VIC983048:VIC983051 VRY983048:VRY983051 WBU983048:WBU983051 WLQ983048:WLQ983051 WVM983048:WVM983051" xr:uid="{82E01C79-B32B-45D1-A284-7119F910A09C}">
      <formula1>$H$31:$H$35</formula1>
    </dataValidation>
    <dataValidation type="list" allowBlank="1" showInputMessage="1" showErrorMessage="1" sqref="F8:F11 JB8:JB11 SX8:SX11 ACT8:ACT11 AMP8:AMP11 AWL8:AWL11 BGH8:BGH11 BQD8:BQD11 BZZ8:BZZ11 CJV8:CJV11 CTR8:CTR11 DDN8:DDN11 DNJ8:DNJ11 DXF8:DXF11 EHB8:EHB11 EQX8:EQX11 FAT8:FAT11 FKP8:FKP11 FUL8:FUL11 GEH8:GEH11 GOD8:GOD11 GXZ8:GXZ11 HHV8:HHV11 HRR8:HRR11 IBN8:IBN11 ILJ8:ILJ11 IVF8:IVF11 JFB8:JFB11 JOX8:JOX11 JYT8:JYT11 KIP8:KIP11 KSL8:KSL11 LCH8:LCH11 LMD8:LMD11 LVZ8:LVZ11 MFV8:MFV11 MPR8:MPR11 MZN8:MZN11 NJJ8:NJJ11 NTF8:NTF11 ODB8:ODB11 OMX8:OMX11 OWT8:OWT11 PGP8:PGP11 PQL8:PQL11 QAH8:QAH11 QKD8:QKD11 QTZ8:QTZ11 RDV8:RDV11 RNR8:RNR11 RXN8:RXN11 SHJ8:SHJ11 SRF8:SRF11 TBB8:TBB11 TKX8:TKX11 TUT8:TUT11 UEP8:UEP11 UOL8:UOL11 UYH8:UYH11 VID8:VID11 VRZ8:VRZ11 WBV8:WBV11 WLR8:WLR11 WVN8:WVN11 F65544:F65547 JB65544:JB65547 SX65544:SX65547 ACT65544:ACT65547 AMP65544:AMP65547 AWL65544:AWL65547 BGH65544:BGH65547 BQD65544:BQD65547 BZZ65544:BZZ65547 CJV65544:CJV65547 CTR65544:CTR65547 DDN65544:DDN65547 DNJ65544:DNJ65547 DXF65544:DXF65547 EHB65544:EHB65547 EQX65544:EQX65547 FAT65544:FAT65547 FKP65544:FKP65547 FUL65544:FUL65547 GEH65544:GEH65547 GOD65544:GOD65547 GXZ65544:GXZ65547 HHV65544:HHV65547 HRR65544:HRR65547 IBN65544:IBN65547 ILJ65544:ILJ65547 IVF65544:IVF65547 JFB65544:JFB65547 JOX65544:JOX65547 JYT65544:JYT65547 KIP65544:KIP65547 KSL65544:KSL65547 LCH65544:LCH65547 LMD65544:LMD65547 LVZ65544:LVZ65547 MFV65544:MFV65547 MPR65544:MPR65547 MZN65544:MZN65547 NJJ65544:NJJ65547 NTF65544:NTF65547 ODB65544:ODB65547 OMX65544:OMX65547 OWT65544:OWT65547 PGP65544:PGP65547 PQL65544:PQL65547 QAH65544:QAH65547 QKD65544:QKD65547 QTZ65544:QTZ65547 RDV65544:RDV65547 RNR65544:RNR65547 RXN65544:RXN65547 SHJ65544:SHJ65547 SRF65544:SRF65547 TBB65544:TBB65547 TKX65544:TKX65547 TUT65544:TUT65547 UEP65544:UEP65547 UOL65544:UOL65547 UYH65544:UYH65547 VID65544:VID65547 VRZ65544:VRZ65547 WBV65544:WBV65547 WLR65544:WLR65547 WVN65544:WVN65547 F131080:F131083 JB131080:JB131083 SX131080:SX131083 ACT131080:ACT131083 AMP131080:AMP131083 AWL131080:AWL131083 BGH131080:BGH131083 BQD131080:BQD131083 BZZ131080:BZZ131083 CJV131080:CJV131083 CTR131080:CTR131083 DDN131080:DDN131083 DNJ131080:DNJ131083 DXF131080:DXF131083 EHB131080:EHB131083 EQX131080:EQX131083 FAT131080:FAT131083 FKP131080:FKP131083 FUL131080:FUL131083 GEH131080:GEH131083 GOD131080:GOD131083 GXZ131080:GXZ131083 HHV131080:HHV131083 HRR131080:HRR131083 IBN131080:IBN131083 ILJ131080:ILJ131083 IVF131080:IVF131083 JFB131080:JFB131083 JOX131080:JOX131083 JYT131080:JYT131083 KIP131080:KIP131083 KSL131080:KSL131083 LCH131080:LCH131083 LMD131080:LMD131083 LVZ131080:LVZ131083 MFV131080:MFV131083 MPR131080:MPR131083 MZN131080:MZN131083 NJJ131080:NJJ131083 NTF131080:NTF131083 ODB131080:ODB131083 OMX131080:OMX131083 OWT131080:OWT131083 PGP131080:PGP131083 PQL131080:PQL131083 QAH131080:QAH131083 QKD131080:QKD131083 QTZ131080:QTZ131083 RDV131080:RDV131083 RNR131080:RNR131083 RXN131080:RXN131083 SHJ131080:SHJ131083 SRF131080:SRF131083 TBB131080:TBB131083 TKX131080:TKX131083 TUT131080:TUT131083 UEP131080:UEP131083 UOL131080:UOL131083 UYH131080:UYH131083 VID131080:VID131083 VRZ131080:VRZ131083 WBV131080:WBV131083 WLR131080:WLR131083 WVN131080:WVN131083 F196616:F196619 JB196616:JB196619 SX196616:SX196619 ACT196616:ACT196619 AMP196616:AMP196619 AWL196616:AWL196619 BGH196616:BGH196619 BQD196616:BQD196619 BZZ196616:BZZ196619 CJV196616:CJV196619 CTR196616:CTR196619 DDN196616:DDN196619 DNJ196616:DNJ196619 DXF196616:DXF196619 EHB196616:EHB196619 EQX196616:EQX196619 FAT196616:FAT196619 FKP196616:FKP196619 FUL196616:FUL196619 GEH196616:GEH196619 GOD196616:GOD196619 GXZ196616:GXZ196619 HHV196616:HHV196619 HRR196616:HRR196619 IBN196616:IBN196619 ILJ196616:ILJ196619 IVF196616:IVF196619 JFB196616:JFB196619 JOX196616:JOX196619 JYT196616:JYT196619 KIP196616:KIP196619 KSL196616:KSL196619 LCH196616:LCH196619 LMD196616:LMD196619 LVZ196616:LVZ196619 MFV196616:MFV196619 MPR196616:MPR196619 MZN196616:MZN196619 NJJ196616:NJJ196619 NTF196616:NTF196619 ODB196616:ODB196619 OMX196616:OMX196619 OWT196616:OWT196619 PGP196616:PGP196619 PQL196616:PQL196619 QAH196616:QAH196619 QKD196616:QKD196619 QTZ196616:QTZ196619 RDV196616:RDV196619 RNR196616:RNR196619 RXN196616:RXN196619 SHJ196616:SHJ196619 SRF196616:SRF196619 TBB196616:TBB196619 TKX196616:TKX196619 TUT196616:TUT196619 UEP196616:UEP196619 UOL196616:UOL196619 UYH196616:UYH196619 VID196616:VID196619 VRZ196616:VRZ196619 WBV196616:WBV196619 WLR196616:WLR196619 WVN196616:WVN196619 F262152:F262155 JB262152:JB262155 SX262152:SX262155 ACT262152:ACT262155 AMP262152:AMP262155 AWL262152:AWL262155 BGH262152:BGH262155 BQD262152:BQD262155 BZZ262152:BZZ262155 CJV262152:CJV262155 CTR262152:CTR262155 DDN262152:DDN262155 DNJ262152:DNJ262155 DXF262152:DXF262155 EHB262152:EHB262155 EQX262152:EQX262155 FAT262152:FAT262155 FKP262152:FKP262155 FUL262152:FUL262155 GEH262152:GEH262155 GOD262152:GOD262155 GXZ262152:GXZ262155 HHV262152:HHV262155 HRR262152:HRR262155 IBN262152:IBN262155 ILJ262152:ILJ262155 IVF262152:IVF262155 JFB262152:JFB262155 JOX262152:JOX262155 JYT262152:JYT262155 KIP262152:KIP262155 KSL262152:KSL262155 LCH262152:LCH262155 LMD262152:LMD262155 LVZ262152:LVZ262155 MFV262152:MFV262155 MPR262152:MPR262155 MZN262152:MZN262155 NJJ262152:NJJ262155 NTF262152:NTF262155 ODB262152:ODB262155 OMX262152:OMX262155 OWT262152:OWT262155 PGP262152:PGP262155 PQL262152:PQL262155 QAH262152:QAH262155 QKD262152:QKD262155 QTZ262152:QTZ262155 RDV262152:RDV262155 RNR262152:RNR262155 RXN262152:RXN262155 SHJ262152:SHJ262155 SRF262152:SRF262155 TBB262152:TBB262155 TKX262152:TKX262155 TUT262152:TUT262155 UEP262152:UEP262155 UOL262152:UOL262155 UYH262152:UYH262155 VID262152:VID262155 VRZ262152:VRZ262155 WBV262152:WBV262155 WLR262152:WLR262155 WVN262152:WVN262155 F327688:F327691 JB327688:JB327691 SX327688:SX327691 ACT327688:ACT327691 AMP327688:AMP327691 AWL327688:AWL327691 BGH327688:BGH327691 BQD327688:BQD327691 BZZ327688:BZZ327691 CJV327688:CJV327691 CTR327688:CTR327691 DDN327688:DDN327691 DNJ327688:DNJ327691 DXF327688:DXF327691 EHB327688:EHB327691 EQX327688:EQX327691 FAT327688:FAT327691 FKP327688:FKP327691 FUL327688:FUL327691 GEH327688:GEH327691 GOD327688:GOD327691 GXZ327688:GXZ327691 HHV327688:HHV327691 HRR327688:HRR327691 IBN327688:IBN327691 ILJ327688:ILJ327691 IVF327688:IVF327691 JFB327688:JFB327691 JOX327688:JOX327691 JYT327688:JYT327691 KIP327688:KIP327691 KSL327688:KSL327691 LCH327688:LCH327691 LMD327688:LMD327691 LVZ327688:LVZ327691 MFV327688:MFV327691 MPR327688:MPR327691 MZN327688:MZN327691 NJJ327688:NJJ327691 NTF327688:NTF327691 ODB327688:ODB327691 OMX327688:OMX327691 OWT327688:OWT327691 PGP327688:PGP327691 PQL327688:PQL327691 QAH327688:QAH327691 QKD327688:QKD327691 QTZ327688:QTZ327691 RDV327688:RDV327691 RNR327688:RNR327691 RXN327688:RXN327691 SHJ327688:SHJ327691 SRF327688:SRF327691 TBB327688:TBB327691 TKX327688:TKX327691 TUT327688:TUT327691 UEP327688:UEP327691 UOL327688:UOL327691 UYH327688:UYH327691 VID327688:VID327691 VRZ327688:VRZ327691 WBV327688:WBV327691 WLR327688:WLR327691 WVN327688:WVN327691 F393224:F393227 JB393224:JB393227 SX393224:SX393227 ACT393224:ACT393227 AMP393224:AMP393227 AWL393224:AWL393227 BGH393224:BGH393227 BQD393224:BQD393227 BZZ393224:BZZ393227 CJV393224:CJV393227 CTR393224:CTR393227 DDN393224:DDN393227 DNJ393224:DNJ393227 DXF393224:DXF393227 EHB393224:EHB393227 EQX393224:EQX393227 FAT393224:FAT393227 FKP393224:FKP393227 FUL393224:FUL393227 GEH393224:GEH393227 GOD393224:GOD393227 GXZ393224:GXZ393227 HHV393224:HHV393227 HRR393224:HRR393227 IBN393224:IBN393227 ILJ393224:ILJ393227 IVF393224:IVF393227 JFB393224:JFB393227 JOX393224:JOX393227 JYT393224:JYT393227 KIP393224:KIP393227 KSL393224:KSL393227 LCH393224:LCH393227 LMD393224:LMD393227 LVZ393224:LVZ393227 MFV393224:MFV393227 MPR393224:MPR393227 MZN393224:MZN393227 NJJ393224:NJJ393227 NTF393224:NTF393227 ODB393224:ODB393227 OMX393224:OMX393227 OWT393224:OWT393227 PGP393224:PGP393227 PQL393224:PQL393227 QAH393224:QAH393227 QKD393224:QKD393227 QTZ393224:QTZ393227 RDV393224:RDV393227 RNR393224:RNR393227 RXN393224:RXN393227 SHJ393224:SHJ393227 SRF393224:SRF393227 TBB393224:TBB393227 TKX393224:TKX393227 TUT393224:TUT393227 UEP393224:UEP393227 UOL393224:UOL393227 UYH393224:UYH393227 VID393224:VID393227 VRZ393224:VRZ393227 WBV393224:WBV393227 WLR393224:WLR393227 WVN393224:WVN393227 F458760:F458763 JB458760:JB458763 SX458760:SX458763 ACT458760:ACT458763 AMP458760:AMP458763 AWL458760:AWL458763 BGH458760:BGH458763 BQD458760:BQD458763 BZZ458760:BZZ458763 CJV458760:CJV458763 CTR458760:CTR458763 DDN458760:DDN458763 DNJ458760:DNJ458763 DXF458760:DXF458763 EHB458760:EHB458763 EQX458760:EQX458763 FAT458760:FAT458763 FKP458760:FKP458763 FUL458760:FUL458763 GEH458760:GEH458763 GOD458760:GOD458763 GXZ458760:GXZ458763 HHV458760:HHV458763 HRR458760:HRR458763 IBN458760:IBN458763 ILJ458760:ILJ458763 IVF458760:IVF458763 JFB458760:JFB458763 JOX458760:JOX458763 JYT458760:JYT458763 KIP458760:KIP458763 KSL458760:KSL458763 LCH458760:LCH458763 LMD458760:LMD458763 LVZ458760:LVZ458763 MFV458760:MFV458763 MPR458760:MPR458763 MZN458760:MZN458763 NJJ458760:NJJ458763 NTF458760:NTF458763 ODB458760:ODB458763 OMX458760:OMX458763 OWT458760:OWT458763 PGP458760:PGP458763 PQL458760:PQL458763 QAH458760:QAH458763 QKD458760:QKD458763 QTZ458760:QTZ458763 RDV458760:RDV458763 RNR458760:RNR458763 RXN458760:RXN458763 SHJ458760:SHJ458763 SRF458760:SRF458763 TBB458760:TBB458763 TKX458760:TKX458763 TUT458760:TUT458763 UEP458760:UEP458763 UOL458760:UOL458763 UYH458760:UYH458763 VID458760:VID458763 VRZ458760:VRZ458763 WBV458760:WBV458763 WLR458760:WLR458763 WVN458760:WVN458763 F524296:F524299 JB524296:JB524299 SX524296:SX524299 ACT524296:ACT524299 AMP524296:AMP524299 AWL524296:AWL524299 BGH524296:BGH524299 BQD524296:BQD524299 BZZ524296:BZZ524299 CJV524296:CJV524299 CTR524296:CTR524299 DDN524296:DDN524299 DNJ524296:DNJ524299 DXF524296:DXF524299 EHB524296:EHB524299 EQX524296:EQX524299 FAT524296:FAT524299 FKP524296:FKP524299 FUL524296:FUL524299 GEH524296:GEH524299 GOD524296:GOD524299 GXZ524296:GXZ524299 HHV524296:HHV524299 HRR524296:HRR524299 IBN524296:IBN524299 ILJ524296:ILJ524299 IVF524296:IVF524299 JFB524296:JFB524299 JOX524296:JOX524299 JYT524296:JYT524299 KIP524296:KIP524299 KSL524296:KSL524299 LCH524296:LCH524299 LMD524296:LMD524299 LVZ524296:LVZ524299 MFV524296:MFV524299 MPR524296:MPR524299 MZN524296:MZN524299 NJJ524296:NJJ524299 NTF524296:NTF524299 ODB524296:ODB524299 OMX524296:OMX524299 OWT524296:OWT524299 PGP524296:PGP524299 PQL524296:PQL524299 QAH524296:QAH524299 QKD524296:QKD524299 QTZ524296:QTZ524299 RDV524296:RDV524299 RNR524296:RNR524299 RXN524296:RXN524299 SHJ524296:SHJ524299 SRF524296:SRF524299 TBB524296:TBB524299 TKX524296:TKX524299 TUT524296:TUT524299 UEP524296:UEP524299 UOL524296:UOL524299 UYH524296:UYH524299 VID524296:VID524299 VRZ524296:VRZ524299 WBV524296:WBV524299 WLR524296:WLR524299 WVN524296:WVN524299 F589832:F589835 JB589832:JB589835 SX589832:SX589835 ACT589832:ACT589835 AMP589832:AMP589835 AWL589832:AWL589835 BGH589832:BGH589835 BQD589832:BQD589835 BZZ589832:BZZ589835 CJV589832:CJV589835 CTR589832:CTR589835 DDN589832:DDN589835 DNJ589832:DNJ589835 DXF589832:DXF589835 EHB589832:EHB589835 EQX589832:EQX589835 FAT589832:FAT589835 FKP589832:FKP589835 FUL589832:FUL589835 GEH589832:GEH589835 GOD589832:GOD589835 GXZ589832:GXZ589835 HHV589832:HHV589835 HRR589832:HRR589835 IBN589832:IBN589835 ILJ589832:ILJ589835 IVF589832:IVF589835 JFB589832:JFB589835 JOX589832:JOX589835 JYT589832:JYT589835 KIP589832:KIP589835 KSL589832:KSL589835 LCH589832:LCH589835 LMD589832:LMD589835 LVZ589832:LVZ589835 MFV589832:MFV589835 MPR589832:MPR589835 MZN589832:MZN589835 NJJ589832:NJJ589835 NTF589832:NTF589835 ODB589832:ODB589835 OMX589832:OMX589835 OWT589832:OWT589835 PGP589832:PGP589835 PQL589832:PQL589835 QAH589832:QAH589835 QKD589832:QKD589835 QTZ589832:QTZ589835 RDV589832:RDV589835 RNR589832:RNR589835 RXN589832:RXN589835 SHJ589832:SHJ589835 SRF589832:SRF589835 TBB589832:TBB589835 TKX589832:TKX589835 TUT589832:TUT589835 UEP589832:UEP589835 UOL589832:UOL589835 UYH589832:UYH589835 VID589832:VID589835 VRZ589832:VRZ589835 WBV589832:WBV589835 WLR589832:WLR589835 WVN589832:WVN589835 F655368:F655371 JB655368:JB655371 SX655368:SX655371 ACT655368:ACT655371 AMP655368:AMP655371 AWL655368:AWL655371 BGH655368:BGH655371 BQD655368:BQD655371 BZZ655368:BZZ655371 CJV655368:CJV655371 CTR655368:CTR655371 DDN655368:DDN655371 DNJ655368:DNJ655371 DXF655368:DXF655371 EHB655368:EHB655371 EQX655368:EQX655371 FAT655368:FAT655371 FKP655368:FKP655371 FUL655368:FUL655371 GEH655368:GEH655371 GOD655368:GOD655371 GXZ655368:GXZ655371 HHV655368:HHV655371 HRR655368:HRR655371 IBN655368:IBN655371 ILJ655368:ILJ655371 IVF655368:IVF655371 JFB655368:JFB655371 JOX655368:JOX655371 JYT655368:JYT655371 KIP655368:KIP655371 KSL655368:KSL655371 LCH655368:LCH655371 LMD655368:LMD655371 LVZ655368:LVZ655371 MFV655368:MFV655371 MPR655368:MPR655371 MZN655368:MZN655371 NJJ655368:NJJ655371 NTF655368:NTF655371 ODB655368:ODB655371 OMX655368:OMX655371 OWT655368:OWT655371 PGP655368:PGP655371 PQL655368:PQL655371 QAH655368:QAH655371 QKD655368:QKD655371 QTZ655368:QTZ655371 RDV655368:RDV655371 RNR655368:RNR655371 RXN655368:RXN655371 SHJ655368:SHJ655371 SRF655368:SRF655371 TBB655368:TBB655371 TKX655368:TKX655371 TUT655368:TUT655371 UEP655368:UEP655371 UOL655368:UOL655371 UYH655368:UYH655371 VID655368:VID655371 VRZ655368:VRZ655371 WBV655368:WBV655371 WLR655368:WLR655371 WVN655368:WVN655371 F720904:F720907 JB720904:JB720907 SX720904:SX720907 ACT720904:ACT720907 AMP720904:AMP720907 AWL720904:AWL720907 BGH720904:BGH720907 BQD720904:BQD720907 BZZ720904:BZZ720907 CJV720904:CJV720907 CTR720904:CTR720907 DDN720904:DDN720907 DNJ720904:DNJ720907 DXF720904:DXF720907 EHB720904:EHB720907 EQX720904:EQX720907 FAT720904:FAT720907 FKP720904:FKP720907 FUL720904:FUL720907 GEH720904:GEH720907 GOD720904:GOD720907 GXZ720904:GXZ720907 HHV720904:HHV720907 HRR720904:HRR720907 IBN720904:IBN720907 ILJ720904:ILJ720907 IVF720904:IVF720907 JFB720904:JFB720907 JOX720904:JOX720907 JYT720904:JYT720907 KIP720904:KIP720907 KSL720904:KSL720907 LCH720904:LCH720907 LMD720904:LMD720907 LVZ720904:LVZ720907 MFV720904:MFV720907 MPR720904:MPR720907 MZN720904:MZN720907 NJJ720904:NJJ720907 NTF720904:NTF720907 ODB720904:ODB720907 OMX720904:OMX720907 OWT720904:OWT720907 PGP720904:PGP720907 PQL720904:PQL720907 QAH720904:QAH720907 QKD720904:QKD720907 QTZ720904:QTZ720907 RDV720904:RDV720907 RNR720904:RNR720907 RXN720904:RXN720907 SHJ720904:SHJ720907 SRF720904:SRF720907 TBB720904:TBB720907 TKX720904:TKX720907 TUT720904:TUT720907 UEP720904:UEP720907 UOL720904:UOL720907 UYH720904:UYH720907 VID720904:VID720907 VRZ720904:VRZ720907 WBV720904:WBV720907 WLR720904:WLR720907 WVN720904:WVN720907 F786440:F786443 JB786440:JB786443 SX786440:SX786443 ACT786440:ACT786443 AMP786440:AMP786443 AWL786440:AWL786443 BGH786440:BGH786443 BQD786440:BQD786443 BZZ786440:BZZ786443 CJV786440:CJV786443 CTR786440:CTR786443 DDN786440:DDN786443 DNJ786440:DNJ786443 DXF786440:DXF786443 EHB786440:EHB786443 EQX786440:EQX786443 FAT786440:FAT786443 FKP786440:FKP786443 FUL786440:FUL786443 GEH786440:GEH786443 GOD786440:GOD786443 GXZ786440:GXZ786443 HHV786440:HHV786443 HRR786440:HRR786443 IBN786440:IBN786443 ILJ786440:ILJ786443 IVF786440:IVF786443 JFB786440:JFB786443 JOX786440:JOX786443 JYT786440:JYT786443 KIP786440:KIP786443 KSL786440:KSL786443 LCH786440:LCH786443 LMD786440:LMD786443 LVZ786440:LVZ786443 MFV786440:MFV786443 MPR786440:MPR786443 MZN786440:MZN786443 NJJ786440:NJJ786443 NTF786440:NTF786443 ODB786440:ODB786443 OMX786440:OMX786443 OWT786440:OWT786443 PGP786440:PGP786443 PQL786440:PQL786443 QAH786440:QAH786443 QKD786440:QKD786443 QTZ786440:QTZ786443 RDV786440:RDV786443 RNR786440:RNR786443 RXN786440:RXN786443 SHJ786440:SHJ786443 SRF786440:SRF786443 TBB786440:TBB786443 TKX786440:TKX786443 TUT786440:TUT786443 UEP786440:UEP786443 UOL786440:UOL786443 UYH786440:UYH786443 VID786440:VID786443 VRZ786440:VRZ786443 WBV786440:WBV786443 WLR786440:WLR786443 WVN786440:WVN786443 F851976:F851979 JB851976:JB851979 SX851976:SX851979 ACT851976:ACT851979 AMP851976:AMP851979 AWL851976:AWL851979 BGH851976:BGH851979 BQD851976:BQD851979 BZZ851976:BZZ851979 CJV851976:CJV851979 CTR851976:CTR851979 DDN851976:DDN851979 DNJ851976:DNJ851979 DXF851976:DXF851979 EHB851976:EHB851979 EQX851976:EQX851979 FAT851976:FAT851979 FKP851976:FKP851979 FUL851976:FUL851979 GEH851976:GEH851979 GOD851976:GOD851979 GXZ851976:GXZ851979 HHV851976:HHV851979 HRR851976:HRR851979 IBN851976:IBN851979 ILJ851976:ILJ851979 IVF851976:IVF851979 JFB851976:JFB851979 JOX851976:JOX851979 JYT851976:JYT851979 KIP851976:KIP851979 KSL851976:KSL851979 LCH851976:LCH851979 LMD851976:LMD851979 LVZ851976:LVZ851979 MFV851976:MFV851979 MPR851976:MPR851979 MZN851976:MZN851979 NJJ851976:NJJ851979 NTF851976:NTF851979 ODB851976:ODB851979 OMX851976:OMX851979 OWT851976:OWT851979 PGP851976:PGP851979 PQL851976:PQL851979 QAH851976:QAH851979 QKD851976:QKD851979 QTZ851976:QTZ851979 RDV851976:RDV851979 RNR851976:RNR851979 RXN851976:RXN851979 SHJ851976:SHJ851979 SRF851976:SRF851979 TBB851976:TBB851979 TKX851976:TKX851979 TUT851976:TUT851979 UEP851976:UEP851979 UOL851976:UOL851979 UYH851976:UYH851979 VID851976:VID851979 VRZ851976:VRZ851979 WBV851976:WBV851979 WLR851976:WLR851979 WVN851976:WVN851979 F917512:F917515 JB917512:JB917515 SX917512:SX917515 ACT917512:ACT917515 AMP917512:AMP917515 AWL917512:AWL917515 BGH917512:BGH917515 BQD917512:BQD917515 BZZ917512:BZZ917515 CJV917512:CJV917515 CTR917512:CTR917515 DDN917512:DDN917515 DNJ917512:DNJ917515 DXF917512:DXF917515 EHB917512:EHB917515 EQX917512:EQX917515 FAT917512:FAT917515 FKP917512:FKP917515 FUL917512:FUL917515 GEH917512:GEH917515 GOD917512:GOD917515 GXZ917512:GXZ917515 HHV917512:HHV917515 HRR917512:HRR917515 IBN917512:IBN917515 ILJ917512:ILJ917515 IVF917512:IVF917515 JFB917512:JFB917515 JOX917512:JOX917515 JYT917512:JYT917515 KIP917512:KIP917515 KSL917512:KSL917515 LCH917512:LCH917515 LMD917512:LMD917515 LVZ917512:LVZ917515 MFV917512:MFV917515 MPR917512:MPR917515 MZN917512:MZN917515 NJJ917512:NJJ917515 NTF917512:NTF917515 ODB917512:ODB917515 OMX917512:OMX917515 OWT917512:OWT917515 PGP917512:PGP917515 PQL917512:PQL917515 QAH917512:QAH917515 QKD917512:QKD917515 QTZ917512:QTZ917515 RDV917512:RDV917515 RNR917512:RNR917515 RXN917512:RXN917515 SHJ917512:SHJ917515 SRF917512:SRF917515 TBB917512:TBB917515 TKX917512:TKX917515 TUT917512:TUT917515 UEP917512:UEP917515 UOL917512:UOL917515 UYH917512:UYH917515 VID917512:VID917515 VRZ917512:VRZ917515 WBV917512:WBV917515 WLR917512:WLR917515 WVN917512:WVN917515 F983048:F983051 JB983048:JB983051 SX983048:SX983051 ACT983048:ACT983051 AMP983048:AMP983051 AWL983048:AWL983051 BGH983048:BGH983051 BQD983048:BQD983051 BZZ983048:BZZ983051 CJV983048:CJV983051 CTR983048:CTR983051 DDN983048:DDN983051 DNJ983048:DNJ983051 DXF983048:DXF983051 EHB983048:EHB983051 EQX983048:EQX983051 FAT983048:FAT983051 FKP983048:FKP983051 FUL983048:FUL983051 GEH983048:GEH983051 GOD983048:GOD983051 GXZ983048:GXZ983051 HHV983048:HHV983051 HRR983048:HRR983051 IBN983048:IBN983051 ILJ983048:ILJ983051 IVF983048:IVF983051 JFB983048:JFB983051 JOX983048:JOX983051 JYT983048:JYT983051 KIP983048:KIP983051 KSL983048:KSL983051 LCH983048:LCH983051 LMD983048:LMD983051 LVZ983048:LVZ983051 MFV983048:MFV983051 MPR983048:MPR983051 MZN983048:MZN983051 NJJ983048:NJJ983051 NTF983048:NTF983051 ODB983048:ODB983051 OMX983048:OMX983051 OWT983048:OWT983051 PGP983048:PGP983051 PQL983048:PQL983051 QAH983048:QAH983051 QKD983048:QKD983051 QTZ983048:QTZ983051 RDV983048:RDV983051 RNR983048:RNR983051 RXN983048:RXN983051 SHJ983048:SHJ983051 SRF983048:SRF983051 TBB983048:TBB983051 TKX983048:TKX983051 TUT983048:TUT983051 UEP983048:UEP983051 UOL983048:UOL983051 UYH983048:UYH983051 VID983048:VID983051 VRZ983048:VRZ983051 WBV983048:WBV983051 WLR983048:WLR983051 WVN983048:WVN983051" xr:uid="{1F948EED-6C43-4E83-9217-E9D27F0C3BBE}">
      <formula1>$F$31:$F$35</formula1>
    </dataValidation>
    <dataValidation type="list" allowBlank="1" showInputMessage="1" showErrorMessage="1" sqref="G8:G11 JC8:JC11 SY8:SY11 ACU8:ACU11 AMQ8:AMQ11 AWM8:AWM11 BGI8:BGI11 BQE8:BQE11 CAA8:CAA11 CJW8:CJW11 CTS8:CTS11 DDO8:DDO11 DNK8:DNK11 DXG8:DXG11 EHC8:EHC11 EQY8:EQY11 FAU8:FAU11 FKQ8:FKQ11 FUM8:FUM11 GEI8:GEI11 GOE8:GOE11 GYA8:GYA11 HHW8:HHW11 HRS8:HRS11 IBO8:IBO11 ILK8:ILK11 IVG8:IVG11 JFC8:JFC11 JOY8:JOY11 JYU8:JYU11 KIQ8:KIQ11 KSM8:KSM11 LCI8:LCI11 LME8:LME11 LWA8:LWA11 MFW8:MFW11 MPS8:MPS11 MZO8:MZO11 NJK8:NJK11 NTG8:NTG11 ODC8:ODC11 OMY8:OMY11 OWU8:OWU11 PGQ8:PGQ11 PQM8:PQM11 QAI8:QAI11 QKE8:QKE11 QUA8:QUA11 RDW8:RDW11 RNS8:RNS11 RXO8:RXO11 SHK8:SHK11 SRG8:SRG11 TBC8:TBC11 TKY8:TKY11 TUU8:TUU11 UEQ8:UEQ11 UOM8:UOM11 UYI8:UYI11 VIE8:VIE11 VSA8:VSA11 WBW8:WBW11 WLS8:WLS11 WVO8:WVO11 G65544:G65547 JC65544:JC65547 SY65544:SY65547 ACU65544:ACU65547 AMQ65544:AMQ65547 AWM65544:AWM65547 BGI65544:BGI65547 BQE65544:BQE65547 CAA65544:CAA65547 CJW65544:CJW65547 CTS65544:CTS65547 DDO65544:DDO65547 DNK65544:DNK65547 DXG65544:DXG65547 EHC65544:EHC65547 EQY65544:EQY65547 FAU65544:FAU65547 FKQ65544:FKQ65547 FUM65544:FUM65547 GEI65544:GEI65547 GOE65544:GOE65547 GYA65544:GYA65547 HHW65544:HHW65547 HRS65544:HRS65547 IBO65544:IBO65547 ILK65544:ILK65547 IVG65544:IVG65547 JFC65544:JFC65547 JOY65544:JOY65547 JYU65544:JYU65547 KIQ65544:KIQ65547 KSM65544:KSM65547 LCI65544:LCI65547 LME65544:LME65547 LWA65544:LWA65547 MFW65544:MFW65547 MPS65544:MPS65547 MZO65544:MZO65547 NJK65544:NJK65547 NTG65544:NTG65547 ODC65544:ODC65547 OMY65544:OMY65547 OWU65544:OWU65547 PGQ65544:PGQ65547 PQM65544:PQM65547 QAI65544:QAI65547 QKE65544:QKE65547 QUA65544:QUA65547 RDW65544:RDW65547 RNS65544:RNS65547 RXO65544:RXO65547 SHK65544:SHK65547 SRG65544:SRG65547 TBC65544:TBC65547 TKY65544:TKY65547 TUU65544:TUU65547 UEQ65544:UEQ65547 UOM65544:UOM65547 UYI65544:UYI65547 VIE65544:VIE65547 VSA65544:VSA65547 WBW65544:WBW65547 WLS65544:WLS65547 WVO65544:WVO65547 G131080:G131083 JC131080:JC131083 SY131080:SY131083 ACU131080:ACU131083 AMQ131080:AMQ131083 AWM131080:AWM131083 BGI131080:BGI131083 BQE131080:BQE131083 CAA131080:CAA131083 CJW131080:CJW131083 CTS131080:CTS131083 DDO131080:DDO131083 DNK131080:DNK131083 DXG131080:DXG131083 EHC131080:EHC131083 EQY131080:EQY131083 FAU131080:FAU131083 FKQ131080:FKQ131083 FUM131080:FUM131083 GEI131080:GEI131083 GOE131080:GOE131083 GYA131080:GYA131083 HHW131080:HHW131083 HRS131080:HRS131083 IBO131080:IBO131083 ILK131080:ILK131083 IVG131080:IVG131083 JFC131080:JFC131083 JOY131080:JOY131083 JYU131080:JYU131083 KIQ131080:KIQ131083 KSM131080:KSM131083 LCI131080:LCI131083 LME131080:LME131083 LWA131080:LWA131083 MFW131080:MFW131083 MPS131080:MPS131083 MZO131080:MZO131083 NJK131080:NJK131083 NTG131080:NTG131083 ODC131080:ODC131083 OMY131080:OMY131083 OWU131080:OWU131083 PGQ131080:PGQ131083 PQM131080:PQM131083 QAI131080:QAI131083 QKE131080:QKE131083 QUA131080:QUA131083 RDW131080:RDW131083 RNS131080:RNS131083 RXO131080:RXO131083 SHK131080:SHK131083 SRG131080:SRG131083 TBC131080:TBC131083 TKY131080:TKY131083 TUU131080:TUU131083 UEQ131080:UEQ131083 UOM131080:UOM131083 UYI131080:UYI131083 VIE131080:VIE131083 VSA131080:VSA131083 WBW131080:WBW131083 WLS131080:WLS131083 WVO131080:WVO131083 G196616:G196619 JC196616:JC196619 SY196616:SY196619 ACU196616:ACU196619 AMQ196616:AMQ196619 AWM196616:AWM196619 BGI196616:BGI196619 BQE196616:BQE196619 CAA196616:CAA196619 CJW196616:CJW196619 CTS196616:CTS196619 DDO196616:DDO196619 DNK196616:DNK196619 DXG196616:DXG196619 EHC196616:EHC196619 EQY196616:EQY196619 FAU196616:FAU196619 FKQ196616:FKQ196619 FUM196616:FUM196619 GEI196616:GEI196619 GOE196616:GOE196619 GYA196616:GYA196619 HHW196616:HHW196619 HRS196616:HRS196619 IBO196616:IBO196619 ILK196616:ILK196619 IVG196616:IVG196619 JFC196616:JFC196619 JOY196616:JOY196619 JYU196616:JYU196619 KIQ196616:KIQ196619 KSM196616:KSM196619 LCI196616:LCI196619 LME196616:LME196619 LWA196616:LWA196619 MFW196616:MFW196619 MPS196616:MPS196619 MZO196616:MZO196619 NJK196616:NJK196619 NTG196616:NTG196619 ODC196616:ODC196619 OMY196616:OMY196619 OWU196616:OWU196619 PGQ196616:PGQ196619 PQM196616:PQM196619 QAI196616:QAI196619 QKE196616:QKE196619 QUA196616:QUA196619 RDW196616:RDW196619 RNS196616:RNS196619 RXO196616:RXO196619 SHK196616:SHK196619 SRG196616:SRG196619 TBC196616:TBC196619 TKY196616:TKY196619 TUU196616:TUU196619 UEQ196616:UEQ196619 UOM196616:UOM196619 UYI196616:UYI196619 VIE196616:VIE196619 VSA196616:VSA196619 WBW196616:WBW196619 WLS196616:WLS196619 WVO196616:WVO196619 G262152:G262155 JC262152:JC262155 SY262152:SY262155 ACU262152:ACU262155 AMQ262152:AMQ262155 AWM262152:AWM262155 BGI262152:BGI262155 BQE262152:BQE262155 CAA262152:CAA262155 CJW262152:CJW262155 CTS262152:CTS262155 DDO262152:DDO262155 DNK262152:DNK262155 DXG262152:DXG262155 EHC262152:EHC262155 EQY262152:EQY262155 FAU262152:FAU262155 FKQ262152:FKQ262155 FUM262152:FUM262155 GEI262152:GEI262155 GOE262152:GOE262155 GYA262152:GYA262155 HHW262152:HHW262155 HRS262152:HRS262155 IBO262152:IBO262155 ILK262152:ILK262155 IVG262152:IVG262155 JFC262152:JFC262155 JOY262152:JOY262155 JYU262152:JYU262155 KIQ262152:KIQ262155 KSM262152:KSM262155 LCI262152:LCI262155 LME262152:LME262155 LWA262152:LWA262155 MFW262152:MFW262155 MPS262152:MPS262155 MZO262152:MZO262155 NJK262152:NJK262155 NTG262152:NTG262155 ODC262152:ODC262155 OMY262152:OMY262155 OWU262152:OWU262155 PGQ262152:PGQ262155 PQM262152:PQM262155 QAI262152:QAI262155 QKE262152:QKE262155 QUA262152:QUA262155 RDW262152:RDW262155 RNS262152:RNS262155 RXO262152:RXO262155 SHK262152:SHK262155 SRG262152:SRG262155 TBC262152:TBC262155 TKY262152:TKY262155 TUU262152:TUU262155 UEQ262152:UEQ262155 UOM262152:UOM262155 UYI262152:UYI262155 VIE262152:VIE262155 VSA262152:VSA262155 WBW262152:WBW262155 WLS262152:WLS262155 WVO262152:WVO262155 G327688:G327691 JC327688:JC327691 SY327688:SY327691 ACU327688:ACU327691 AMQ327688:AMQ327691 AWM327688:AWM327691 BGI327688:BGI327691 BQE327688:BQE327691 CAA327688:CAA327691 CJW327688:CJW327691 CTS327688:CTS327691 DDO327688:DDO327691 DNK327688:DNK327691 DXG327688:DXG327691 EHC327688:EHC327691 EQY327688:EQY327691 FAU327688:FAU327691 FKQ327688:FKQ327691 FUM327688:FUM327691 GEI327688:GEI327691 GOE327688:GOE327691 GYA327688:GYA327691 HHW327688:HHW327691 HRS327688:HRS327691 IBO327688:IBO327691 ILK327688:ILK327691 IVG327688:IVG327691 JFC327688:JFC327691 JOY327688:JOY327691 JYU327688:JYU327691 KIQ327688:KIQ327691 KSM327688:KSM327691 LCI327688:LCI327691 LME327688:LME327691 LWA327688:LWA327691 MFW327688:MFW327691 MPS327688:MPS327691 MZO327688:MZO327691 NJK327688:NJK327691 NTG327688:NTG327691 ODC327688:ODC327691 OMY327688:OMY327691 OWU327688:OWU327691 PGQ327688:PGQ327691 PQM327688:PQM327691 QAI327688:QAI327691 QKE327688:QKE327691 QUA327688:QUA327691 RDW327688:RDW327691 RNS327688:RNS327691 RXO327688:RXO327691 SHK327688:SHK327691 SRG327688:SRG327691 TBC327688:TBC327691 TKY327688:TKY327691 TUU327688:TUU327691 UEQ327688:UEQ327691 UOM327688:UOM327691 UYI327688:UYI327691 VIE327688:VIE327691 VSA327688:VSA327691 WBW327688:WBW327691 WLS327688:WLS327691 WVO327688:WVO327691 G393224:G393227 JC393224:JC393227 SY393224:SY393227 ACU393224:ACU393227 AMQ393224:AMQ393227 AWM393224:AWM393227 BGI393224:BGI393227 BQE393224:BQE393227 CAA393224:CAA393227 CJW393224:CJW393227 CTS393224:CTS393227 DDO393224:DDO393227 DNK393224:DNK393227 DXG393224:DXG393227 EHC393224:EHC393227 EQY393224:EQY393227 FAU393224:FAU393227 FKQ393224:FKQ393227 FUM393224:FUM393227 GEI393224:GEI393227 GOE393224:GOE393227 GYA393224:GYA393227 HHW393224:HHW393227 HRS393224:HRS393227 IBO393224:IBO393227 ILK393224:ILK393227 IVG393224:IVG393227 JFC393224:JFC393227 JOY393224:JOY393227 JYU393224:JYU393227 KIQ393224:KIQ393227 KSM393224:KSM393227 LCI393224:LCI393227 LME393224:LME393227 LWA393224:LWA393227 MFW393224:MFW393227 MPS393224:MPS393227 MZO393224:MZO393227 NJK393224:NJK393227 NTG393224:NTG393227 ODC393224:ODC393227 OMY393224:OMY393227 OWU393224:OWU393227 PGQ393224:PGQ393227 PQM393224:PQM393227 QAI393224:QAI393227 QKE393224:QKE393227 QUA393224:QUA393227 RDW393224:RDW393227 RNS393224:RNS393227 RXO393224:RXO393227 SHK393224:SHK393227 SRG393224:SRG393227 TBC393224:TBC393227 TKY393224:TKY393227 TUU393224:TUU393227 UEQ393224:UEQ393227 UOM393224:UOM393227 UYI393224:UYI393227 VIE393224:VIE393227 VSA393224:VSA393227 WBW393224:WBW393227 WLS393224:WLS393227 WVO393224:WVO393227 G458760:G458763 JC458760:JC458763 SY458760:SY458763 ACU458760:ACU458763 AMQ458760:AMQ458763 AWM458760:AWM458763 BGI458760:BGI458763 BQE458760:BQE458763 CAA458760:CAA458763 CJW458760:CJW458763 CTS458760:CTS458763 DDO458760:DDO458763 DNK458760:DNK458763 DXG458760:DXG458763 EHC458760:EHC458763 EQY458760:EQY458763 FAU458760:FAU458763 FKQ458760:FKQ458763 FUM458760:FUM458763 GEI458760:GEI458763 GOE458760:GOE458763 GYA458760:GYA458763 HHW458760:HHW458763 HRS458760:HRS458763 IBO458760:IBO458763 ILK458760:ILK458763 IVG458760:IVG458763 JFC458760:JFC458763 JOY458760:JOY458763 JYU458760:JYU458763 KIQ458760:KIQ458763 KSM458760:KSM458763 LCI458760:LCI458763 LME458760:LME458763 LWA458760:LWA458763 MFW458760:MFW458763 MPS458760:MPS458763 MZO458760:MZO458763 NJK458760:NJK458763 NTG458760:NTG458763 ODC458760:ODC458763 OMY458760:OMY458763 OWU458760:OWU458763 PGQ458760:PGQ458763 PQM458760:PQM458763 QAI458760:QAI458763 QKE458760:QKE458763 QUA458760:QUA458763 RDW458760:RDW458763 RNS458760:RNS458763 RXO458760:RXO458763 SHK458760:SHK458763 SRG458760:SRG458763 TBC458760:TBC458763 TKY458760:TKY458763 TUU458760:TUU458763 UEQ458760:UEQ458763 UOM458760:UOM458763 UYI458760:UYI458763 VIE458760:VIE458763 VSA458760:VSA458763 WBW458760:WBW458763 WLS458760:WLS458763 WVO458760:WVO458763 G524296:G524299 JC524296:JC524299 SY524296:SY524299 ACU524296:ACU524299 AMQ524296:AMQ524299 AWM524296:AWM524299 BGI524296:BGI524299 BQE524296:BQE524299 CAA524296:CAA524299 CJW524296:CJW524299 CTS524296:CTS524299 DDO524296:DDO524299 DNK524296:DNK524299 DXG524296:DXG524299 EHC524296:EHC524299 EQY524296:EQY524299 FAU524296:FAU524299 FKQ524296:FKQ524299 FUM524296:FUM524299 GEI524296:GEI524299 GOE524296:GOE524299 GYA524296:GYA524299 HHW524296:HHW524299 HRS524296:HRS524299 IBO524296:IBO524299 ILK524296:ILK524299 IVG524296:IVG524299 JFC524296:JFC524299 JOY524296:JOY524299 JYU524296:JYU524299 KIQ524296:KIQ524299 KSM524296:KSM524299 LCI524296:LCI524299 LME524296:LME524299 LWA524296:LWA524299 MFW524296:MFW524299 MPS524296:MPS524299 MZO524296:MZO524299 NJK524296:NJK524299 NTG524296:NTG524299 ODC524296:ODC524299 OMY524296:OMY524299 OWU524296:OWU524299 PGQ524296:PGQ524299 PQM524296:PQM524299 QAI524296:QAI524299 QKE524296:QKE524299 QUA524296:QUA524299 RDW524296:RDW524299 RNS524296:RNS524299 RXO524296:RXO524299 SHK524296:SHK524299 SRG524296:SRG524299 TBC524296:TBC524299 TKY524296:TKY524299 TUU524296:TUU524299 UEQ524296:UEQ524299 UOM524296:UOM524299 UYI524296:UYI524299 VIE524296:VIE524299 VSA524296:VSA524299 WBW524296:WBW524299 WLS524296:WLS524299 WVO524296:WVO524299 G589832:G589835 JC589832:JC589835 SY589832:SY589835 ACU589832:ACU589835 AMQ589832:AMQ589835 AWM589832:AWM589835 BGI589832:BGI589835 BQE589832:BQE589835 CAA589832:CAA589835 CJW589832:CJW589835 CTS589832:CTS589835 DDO589832:DDO589835 DNK589832:DNK589835 DXG589832:DXG589835 EHC589832:EHC589835 EQY589832:EQY589835 FAU589832:FAU589835 FKQ589832:FKQ589835 FUM589832:FUM589835 GEI589832:GEI589835 GOE589832:GOE589835 GYA589832:GYA589835 HHW589832:HHW589835 HRS589832:HRS589835 IBO589832:IBO589835 ILK589832:ILK589835 IVG589832:IVG589835 JFC589832:JFC589835 JOY589832:JOY589835 JYU589832:JYU589835 KIQ589832:KIQ589835 KSM589832:KSM589835 LCI589832:LCI589835 LME589832:LME589835 LWA589832:LWA589835 MFW589832:MFW589835 MPS589832:MPS589835 MZO589832:MZO589835 NJK589832:NJK589835 NTG589832:NTG589835 ODC589832:ODC589835 OMY589832:OMY589835 OWU589832:OWU589835 PGQ589832:PGQ589835 PQM589832:PQM589835 QAI589832:QAI589835 QKE589832:QKE589835 QUA589832:QUA589835 RDW589832:RDW589835 RNS589832:RNS589835 RXO589832:RXO589835 SHK589832:SHK589835 SRG589832:SRG589835 TBC589832:TBC589835 TKY589832:TKY589835 TUU589832:TUU589835 UEQ589832:UEQ589835 UOM589832:UOM589835 UYI589832:UYI589835 VIE589832:VIE589835 VSA589832:VSA589835 WBW589832:WBW589835 WLS589832:WLS589835 WVO589832:WVO589835 G655368:G655371 JC655368:JC655371 SY655368:SY655371 ACU655368:ACU655371 AMQ655368:AMQ655371 AWM655368:AWM655371 BGI655368:BGI655371 BQE655368:BQE655371 CAA655368:CAA655371 CJW655368:CJW655371 CTS655368:CTS655371 DDO655368:DDO655371 DNK655368:DNK655371 DXG655368:DXG655371 EHC655368:EHC655371 EQY655368:EQY655371 FAU655368:FAU655371 FKQ655368:FKQ655371 FUM655368:FUM655371 GEI655368:GEI655371 GOE655368:GOE655371 GYA655368:GYA655371 HHW655368:HHW655371 HRS655368:HRS655371 IBO655368:IBO655371 ILK655368:ILK655371 IVG655368:IVG655371 JFC655368:JFC655371 JOY655368:JOY655371 JYU655368:JYU655371 KIQ655368:KIQ655371 KSM655368:KSM655371 LCI655368:LCI655371 LME655368:LME655371 LWA655368:LWA655371 MFW655368:MFW655371 MPS655368:MPS655371 MZO655368:MZO655371 NJK655368:NJK655371 NTG655368:NTG655371 ODC655368:ODC655371 OMY655368:OMY655371 OWU655368:OWU655371 PGQ655368:PGQ655371 PQM655368:PQM655371 QAI655368:QAI655371 QKE655368:QKE655371 QUA655368:QUA655371 RDW655368:RDW655371 RNS655368:RNS655371 RXO655368:RXO655371 SHK655368:SHK655371 SRG655368:SRG655371 TBC655368:TBC655371 TKY655368:TKY655371 TUU655368:TUU655371 UEQ655368:UEQ655371 UOM655368:UOM655371 UYI655368:UYI655371 VIE655368:VIE655371 VSA655368:VSA655371 WBW655368:WBW655371 WLS655368:WLS655371 WVO655368:WVO655371 G720904:G720907 JC720904:JC720907 SY720904:SY720907 ACU720904:ACU720907 AMQ720904:AMQ720907 AWM720904:AWM720907 BGI720904:BGI720907 BQE720904:BQE720907 CAA720904:CAA720907 CJW720904:CJW720907 CTS720904:CTS720907 DDO720904:DDO720907 DNK720904:DNK720907 DXG720904:DXG720907 EHC720904:EHC720907 EQY720904:EQY720907 FAU720904:FAU720907 FKQ720904:FKQ720907 FUM720904:FUM720907 GEI720904:GEI720907 GOE720904:GOE720907 GYA720904:GYA720907 HHW720904:HHW720907 HRS720904:HRS720907 IBO720904:IBO720907 ILK720904:ILK720907 IVG720904:IVG720907 JFC720904:JFC720907 JOY720904:JOY720907 JYU720904:JYU720907 KIQ720904:KIQ720907 KSM720904:KSM720907 LCI720904:LCI720907 LME720904:LME720907 LWA720904:LWA720907 MFW720904:MFW720907 MPS720904:MPS720907 MZO720904:MZO720907 NJK720904:NJK720907 NTG720904:NTG720907 ODC720904:ODC720907 OMY720904:OMY720907 OWU720904:OWU720907 PGQ720904:PGQ720907 PQM720904:PQM720907 QAI720904:QAI720907 QKE720904:QKE720907 QUA720904:QUA720907 RDW720904:RDW720907 RNS720904:RNS720907 RXO720904:RXO720907 SHK720904:SHK720907 SRG720904:SRG720907 TBC720904:TBC720907 TKY720904:TKY720907 TUU720904:TUU720907 UEQ720904:UEQ720907 UOM720904:UOM720907 UYI720904:UYI720907 VIE720904:VIE720907 VSA720904:VSA720907 WBW720904:WBW720907 WLS720904:WLS720907 WVO720904:WVO720907 G786440:G786443 JC786440:JC786443 SY786440:SY786443 ACU786440:ACU786443 AMQ786440:AMQ786443 AWM786440:AWM786443 BGI786440:BGI786443 BQE786440:BQE786443 CAA786440:CAA786443 CJW786440:CJW786443 CTS786440:CTS786443 DDO786440:DDO786443 DNK786440:DNK786443 DXG786440:DXG786443 EHC786440:EHC786443 EQY786440:EQY786443 FAU786440:FAU786443 FKQ786440:FKQ786443 FUM786440:FUM786443 GEI786440:GEI786443 GOE786440:GOE786443 GYA786440:GYA786443 HHW786440:HHW786443 HRS786440:HRS786443 IBO786440:IBO786443 ILK786440:ILK786443 IVG786440:IVG786443 JFC786440:JFC786443 JOY786440:JOY786443 JYU786440:JYU786443 KIQ786440:KIQ786443 KSM786440:KSM786443 LCI786440:LCI786443 LME786440:LME786443 LWA786440:LWA786443 MFW786440:MFW786443 MPS786440:MPS786443 MZO786440:MZO786443 NJK786440:NJK786443 NTG786440:NTG786443 ODC786440:ODC786443 OMY786440:OMY786443 OWU786440:OWU786443 PGQ786440:PGQ786443 PQM786440:PQM786443 QAI786440:QAI786443 QKE786440:QKE786443 QUA786440:QUA786443 RDW786440:RDW786443 RNS786440:RNS786443 RXO786440:RXO786443 SHK786440:SHK786443 SRG786440:SRG786443 TBC786440:TBC786443 TKY786440:TKY786443 TUU786440:TUU786443 UEQ786440:UEQ786443 UOM786440:UOM786443 UYI786440:UYI786443 VIE786440:VIE786443 VSA786440:VSA786443 WBW786440:WBW786443 WLS786440:WLS786443 WVO786440:WVO786443 G851976:G851979 JC851976:JC851979 SY851976:SY851979 ACU851976:ACU851979 AMQ851976:AMQ851979 AWM851976:AWM851979 BGI851976:BGI851979 BQE851976:BQE851979 CAA851976:CAA851979 CJW851976:CJW851979 CTS851976:CTS851979 DDO851976:DDO851979 DNK851976:DNK851979 DXG851976:DXG851979 EHC851976:EHC851979 EQY851976:EQY851979 FAU851976:FAU851979 FKQ851976:FKQ851979 FUM851976:FUM851979 GEI851976:GEI851979 GOE851976:GOE851979 GYA851976:GYA851979 HHW851976:HHW851979 HRS851976:HRS851979 IBO851976:IBO851979 ILK851976:ILK851979 IVG851976:IVG851979 JFC851976:JFC851979 JOY851976:JOY851979 JYU851976:JYU851979 KIQ851976:KIQ851979 KSM851976:KSM851979 LCI851976:LCI851979 LME851976:LME851979 LWA851976:LWA851979 MFW851976:MFW851979 MPS851976:MPS851979 MZO851976:MZO851979 NJK851976:NJK851979 NTG851976:NTG851979 ODC851976:ODC851979 OMY851976:OMY851979 OWU851976:OWU851979 PGQ851976:PGQ851979 PQM851976:PQM851979 QAI851976:QAI851979 QKE851976:QKE851979 QUA851976:QUA851979 RDW851976:RDW851979 RNS851976:RNS851979 RXO851976:RXO851979 SHK851976:SHK851979 SRG851976:SRG851979 TBC851976:TBC851979 TKY851976:TKY851979 TUU851976:TUU851979 UEQ851976:UEQ851979 UOM851976:UOM851979 UYI851976:UYI851979 VIE851976:VIE851979 VSA851976:VSA851979 WBW851976:WBW851979 WLS851976:WLS851979 WVO851976:WVO851979 G917512:G917515 JC917512:JC917515 SY917512:SY917515 ACU917512:ACU917515 AMQ917512:AMQ917515 AWM917512:AWM917515 BGI917512:BGI917515 BQE917512:BQE917515 CAA917512:CAA917515 CJW917512:CJW917515 CTS917512:CTS917515 DDO917512:DDO917515 DNK917512:DNK917515 DXG917512:DXG917515 EHC917512:EHC917515 EQY917512:EQY917515 FAU917512:FAU917515 FKQ917512:FKQ917515 FUM917512:FUM917515 GEI917512:GEI917515 GOE917512:GOE917515 GYA917512:GYA917515 HHW917512:HHW917515 HRS917512:HRS917515 IBO917512:IBO917515 ILK917512:ILK917515 IVG917512:IVG917515 JFC917512:JFC917515 JOY917512:JOY917515 JYU917512:JYU917515 KIQ917512:KIQ917515 KSM917512:KSM917515 LCI917512:LCI917515 LME917512:LME917515 LWA917512:LWA917515 MFW917512:MFW917515 MPS917512:MPS917515 MZO917512:MZO917515 NJK917512:NJK917515 NTG917512:NTG917515 ODC917512:ODC917515 OMY917512:OMY917515 OWU917512:OWU917515 PGQ917512:PGQ917515 PQM917512:PQM917515 QAI917512:QAI917515 QKE917512:QKE917515 QUA917512:QUA917515 RDW917512:RDW917515 RNS917512:RNS917515 RXO917512:RXO917515 SHK917512:SHK917515 SRG917512:SRG917515 TBC917512:TBC917515 TKY917512:TKY917515 TUU917512:TUU917515 UEQ917512:UEQ917515 UOM917512:UOM917515 UYI917512:UYI917515 VIE917512:VIE917515 VSA917512:VSA917515 WBW917512:WBW917515 WLS917512:WLS917515 WVO917512:WVO917515 G983048:G983051 JC983048:JC983051 SY983048:SY983051 ACU983048:ACU983051 AMQ983048:AMQ983051 AWM983048:AWM983051 BGI983048:BGI983051 BQE983048:BQE983051 CAA983048:CAA983051 CJW983048:CJW983051 CTS983048:CTS983051 DDO983048:DDO983051 DNK983048:DNK983051 DXG983048:DXG983051 EHC983048:EHC983051 EQY983048:EQY983051 FAU983048:FAU983051 FKQ983048:FKQ983051 FUM983048:FUM983051 GEI983048:GEI983051 GOE983048:GOE983051 GYA983048:GYA983051 HHW983048:HHW983051 HRS983048:HRS983051 IBO983048:IBO983051 ILK983048:ILK983051 IVG983048:IVG983051 JFC983048:JFC983051 JOY983048:JOY983051 JYU983048:JYU983051 KIQ983048:KIQ983051 KSM983048:KSM983051 LCI983048:LCI983051 LME983048:LME983051 LWA983048:LWA983051 MFW983048:MFW983051 MPS983048:MPS983051 MZO983048:MZO983051 NJK983048:NJK983051 NTG983048:NTG983051 ODC983048:ODC983051 OMY983048:OMY983051 OWU983048:OWU983051 PGQ983048:PGQ983051 PQM983048:PQM983051 QAI983048:QAI983051 QKE983048:QKE983051 QUA983048:QUA983051 RDW983048:RDW983051 RNS983048:RNS983051 RXO983048:RXO983051 SHK983048:SHK983051 SRG983048:SRG983051 TBC983048:TBC983051 TKY983048:TKY983051 TUU983048:TUU983051 UEQ983048:UEQ983051 UOM983048:UOM983051 UYI983048:UYI983051 VIE983048:VIE983051 VSA983048:VSA983051 WBW983048:WBW983051 WLS983048:WLS983051 WVO983048:WVO983051" xr:uid="{0BFA550A-DF1F-4327-8B30-D6BF8BABAFA6}">
      <formula1>$G$31:$G$35</formula1>
    </dataValidation>
  </dataValidations>
  <pageMargins left="0.59055118110236227" right="0.59055118110236227" top="0.59055118110236227" bottom="0.59055118110236227" header="0.51181102362204722" footer="0.51181102362204722"/>
  <pageSetup paperSize="9" scale="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F6D1-162F-465A-9E7E-4A8A638F67E9}">
  <sheetPr codeName="Plan6"/>
  <dimension ref="A1:F10"/>
  <sheetViews>
    <sheetView showGridLines="0" zoomScale="120" zoomScaleNormal="120" workbookViewId="0">
      <selection activeCell="F20" sqref="F20"/>
    </sheetView>
  </sheetViews>
  <sheetFormatPr defaultRowHeight="13.2" x14ac:dyDescent="0.25"/>
  <cols>
    <col min="1" max="1" width="42.88671875" bestFit="1" customWidth="1"/>
    <col min="2" max="2" width="9.33203125" style="513" customWidth="1"/>
    <col min="3" max="3" width="49.33203125" bestFit="1" customWidth="1"/>
    <col min="4" max="4" width="11.5546875" style="513" customWidth="1"/>
    <col min="5" max="5" width="15.33203125" style="513" customWidth="1"/>
    <col min="6" max="6" width="23.109375" style="1" customWidth="1"/>
    <col min="257" max="257" width="42.88671875" bestFit="1" customWidth="1"/>
    <col min="258" max="258" width="9.33203125" customWidth="1"/>
    <col min="259" max="259" width="49.33203125" bestFit="1" customWidth="1"/>
    <col min="260" max="260" width="11.5546875" customWidth="1"/>
    <col min="261" max="261" width="15.33203125" customWidth="1"/>
    <col min="262" max="262" width="23.109375" customWidth="1"/>
    <col min="513" max="513" width="42.88671875" bestFit="1" customWidth="1"/>
    <col min="514" max="514" width="9.33203125" customWidth="1"/>
    <col min="515" max="515" width="49.33203125" bestFit="1" customWidth="1"/>
    <col min="516" max="516" width="11.5546875" customWidth="1"/>
    <col min="517" max="517" width="15.33203125" customWidth="1"/>
    <col min="518" max="518" width="23.109375" customWidth="1"/>
    <col min="769" max="769" width="42.88671875" bestFit="1" customWidth="1"/>
    <col min="770" max="770" width="9.33203125" customWidth="1"/>
    <col min="771" max="771" width="49.33203125" bestFit="1" customWidth="1"/>
    <col min="772" max="772" width="11.5546875" customWidth="1"/>
    <col min="773" max="773" width="15.33203125" customWidth="1"/>
    <col min="774" max="774" width="23.109375" customWidth="1"/>
    <col min="1025" max="1025" width="42.88671875" bestFit="1" customWidth="1"/>
    <col min="1026" max="1026" width="9.33203125" customWidth="1"/>
    <col min="1027" max="1027" width="49.33203125" bestFit="1" customWidth="1"/>
    <col min="1028" max="1028" width="11.5546875" customWidth="1"/>
    <col min="1029" max="1029" width="15.33203125" customWidth="1"/>
    <col min="1030" max="1030" width="23.109375" customWidth="1"/>
    <col min="1281" max="1281" width="42.88671875" bestFit="1" customWidth="1"/>
    <col min="1282" max="1282" width="9.33203125" customWidth="1"/>
    <col min="1283" max="1283" width="49.33203125" bestFit="1" customWidth="1"/>
    <col min="1284" max="1284" width="11.5546875" customWidth="1"/>
    <col min="1285" max="1285" width="15.33203125" customWidth="1"/>
    <col min="1286" max="1286" width="23.109375" customWidth="1"/>
    <col min="1537" max="1537" width="42.88671875" bestFit="1" customWidth="1"/>
    <col min="1538" max="1538" width="9.33203125" customWidth="1"/>
    <col min="1539" max="1539" width="49.33203125" bestFit="1" customWidth="1"/>
    <col min="1540" max="1540" width="11.5546875" customWidth="1"/>
    <col min="1541" max="1541" width="15.33203125" customWidth="1"/>
    <col min="1542" max="1542" width="23.109375" customWidth="1"/>
    <col min="1793" max="1793" width="42.88671875" bestFit="1" customWidth="1"/>
    <col min="1794" max="1794" width="9.33203125" customWidth="1"/>
    <col min="1795" max="1795" width="49.33203125" bestFit="1" customWidth="1"/>
    <col min="1796" max="1796" width="11.5546875" customWidth="1"/>
    <col min="1797" max="1797" width="15.33203125" customWidth="1"/>
    <col min="1798" max="1798" width="23.109375" customWidth="1"/>
    <col min="2049" max="2049" width="42.88671875" bestFit="1" customWidth="1"/>
    <col min="2050" max="2050" width="9.33203125" customWidth="1"/>
    <col min="2051" max="2051" width="49.33203125" bestFit="1" customWidth="1"/>
    <col min="2052" max="2052" width="11.5546875" customWidth="1"/>
    <col min="2053" max="2053" width="15.33203125" customWidth="1"/>
    <col min="2054" max="2054" width="23.109375" customWidth="1"/>
    <col min="2305" max="2305" width="42.88671875" bestFit="1" customWidth="1"/>
    <col min="2306" max="2306" width="9.33203125" customWidth="1"/>
    <col min="2307" max="2307" width="49.33203125" bestFit="1" customWidth="1"/>
    <col min="2308" max="2308" width="11.5546875" customWidth="1"/>
    <col min="2309" max="2309" width="15.33203125" customWidth="1"/>
    <col min="2310" max="2310" width="23.109375" customWidth="1"/>
    <col min="2561" max="2561" width="42.88671875" bestFit="1" customWidth="1"/>
    <col min="2562" max="2562" width="9.33203125" customWidth="1"/>
    <col min="2563" max="2563" width="49.33203125" bestFit="1" customWidth="1"/>
    <col min="2564" max="2564" width="11.5546875" customWidth="1"/>
    <col min="2565" max="2565" width="15.33203125" customWidth="1"/>
    <col min="2566" max="2566" width="23.109375" customWidth="1"/>
    <col min="2817" max="2817" width="42.88671875" bestFit="1" customWidth="1"/>
    <col min="2818" max="2818" width="9.33203125" customWidth="1"/>
    <col min="2819" max="2819" width="49.33203125" bestFit="1" customWidth="1"/>
    <col min="2820" max="2820" width="11.5546875" customWidth="1"/>
    <col min="2821" max="2821" width="15.33203125" customWidth="1"/>
    <col min="2822" max="2822" width="23.109375" customWidth="1"/>
    <col min="3073" max="3073" width="42.88671875" bestFit="1" customWidth="1"/>
    <col min="3074" max="3074" width="9.33203125" customWidth="1"/>
    <col min="3075" max="3075" width="49.33203125" bestFit="1" customWidth="1"/>
    <col min="3076" max="3076" width="11.5546875" customWidth="1"/>
    <col min="3077" max="3077" width="15.33203125" customWidth="1"/>
    <col min="3078" max="3078" width="23.109375" customWidth="1"/>
    <col min="3329" max="3329" width="42.88671875" bestFit="1" customWidth="1"/>
    <col min="3330" max="3330" width="9.33203125" customWidth="1"/>
    <col min="3331" max="3331" width="49.33203125" bestFit="1" customWidth="1"/>
    <col min="3332" max="3332" width="11.5546875" customWidth="1"/>
    <col min="3333" max="3333" width="15.33203125" customWidth="1"/>
    <col min="3334" max="3334" width="23.109375" customWidth="1"/>
    <col min="3585" max="3585" width="42.88671875" bestFit="1" customWidth="1"/>
    <col min="3586" max="3586" width="9.33203125" customWidth="1"/>
    <col min="3587" max="3587" width="49.33203125" bestFit="1" customWidth="1"/>
    <col min="3588" max="3588" width="11.5546875" customWidth="1"/>
    <col min="3589" max="3589" width="15.33203125" customWidth="1"/>
    <col min="3590" max="3590" width="23.109375" customWidth="1"/>
    <col min="3841" max="3841" width="42.88671875" bestFit="1" customWidth="1"/>
    <col min="3842" max="3842" width="9.33203125" customWidth="1"/>
    <col min="3843" max="3843" width="49.33203125" bestFit="1" customWidth="1"/>
    <col min="3844" max="3844" width="11.5546875" customWidth="1"/>
    <col min="3845" max="3845" width="15.33203125" customWidth="1"/>
    <col min="3846" max="3846" width="23.109375" customWidth="1"/>
    <col min="4097" max="4097" width="42.88671875" bestFit="1" customWidth="1"/>
    <col min="4098" max="4098" width="9.33203125" customWidth="1"/>
    <col min="4099" max="4099" width="49.33203125" bestFit="1" customWidth="1"/>
    <col min="4100" max="4100" width="11.5546875" customWidth="1"/>
    <col min="4101" max="4101" width="15.33203125" customWidth="1"/>
    <col min="4102" max="4102" width="23.109375" customWidth="1"/>
    <col min="4353" max="4353" width="42.88671875" bestFit="1" customWidth="1"/>
    <col min="4354" max="4354" width="9.33203125" customWidth="1"/>
    <col min="4355" max="4355" width="49.33203125" bestFit="1" customWidth="1"/>
    <col min="4356" max="4356" width="11.5546875" customWidth="1"/>
    <col min="4357" max="4357" width="15.33203125" customWidth="1"/>
    <col min="4358" max="4358" width="23.109375" customWidth="1"/>
    <col min="4609" max="4609" width="42.88671875" bestFit="1" customWidth="1"/>
    <col min="4610" max="4610" width="9.33203125" customWidth="1"/>
    <col min="4611" max="4611" width="49.33203125" bestFit="1" customWidth="1"/>
    <col min="4612" max="4612" width="11.5546875" customWidth="1"/>
    <col min="4613" max="4613" width="15.33203125" customWidth="1"/>
    <col min="4614" max="4614" width="23.109375" customWidth="1"/>
    <col min="4865" max="4865" width="42.88671875" bestFit="1" customWidth="1"/>
    <col min="4866" max="4866" width="9.33203125" customWidth="1"/>
    <col min="4867" max="4867" width="49.33203125" bestFit="1" customWidth="1"/>
    <col min="4868" max="4868" width="11.5546875" customWidth="1"/>
    <col min="4869" max="4869" width="15.33203125" customWidth="1"/>
    <col min="4870" max="4870" width="23.109375" customWidth="1"/>
    <col min="5121" max="5121" width="42.88671875" bestFit="1" customWidth="1"/>
    <col min="5122" max="5122" width="9.33203125" customWidth="1"/>
    <col min="5123" max="5123" width="49.33203125" bestFit="1" customWidth="1"/>
    <col min="5124" max="5124" width="11.5546875" customWidth="1"/>
    <col min="5125" max="5125" width="15.33203125" customWidth="1"/>
    <col min="5126" max="5126" width="23.109375" customWidth="1"/>
    <col min="5377" max="5377" width="42.88671875" bestFit="1" customWidth="1"/>
    <col min="5378" max="5378" width="9.33203125" customWidth="1"/>
    <col min="5379" max="5379" width="49.33203125" bestFit="1" customWidth="1"/>
    <col min="5380" max="5380" width="11.5546875" customWidth="1"/>
    <col min="5381" max="5381" width="15.33203125" customWidth="1"/>
    <col min="5382" max="5382" width="23.109375" customWidth="1"/>
    <col min="5633" max="5633" width="42.88671875" bestFit="1" customWidth="1"/>
    <col min="5634" max="5634" width="9.33203125" customWidth="1"/>
    <col min="5635" max="5635" width="49.33203125" bestFit="1" customWidth="1"/>
    <col min="5636" max="5636" width="11.5546875" customWidth="1"/>
    <col min="5637" max="5637" width="15.33203125" customWidth="1"/>
    <col min="5638" max="5638" width="23.109375" customWidth="1"/>
    <col min="5889" max="5889" width="42.88671875" bestFit="1" customWidth="1"/>
    <col min="5890" max="5890" width="9.33203125" customWidth="1"/>
    <col min="5891" max="5891" width="49.33203125" bestFit="1" customWidth="1"/>
    <col min="5892" max="5892" width="11.5546875" customWidth="1"/>
    <col min="5893" max="5893" width="15.33203125" customWidth="1"/>
    <col min="5894" max="5894" width="23.109375" customWidth="1"/>
    <col min="6145" max="6145" width="42.88671875" bestFit="1" customWidth="1"/>
    <col min="6146" max="6146" width="9.33203125" customWidth="1"/>
    <col min="6147" max="6147" width="49.33203125" bestFit="1" customWidth="1"/>
    <col min="6148" max="6148" width="11.5546875" customWidth="1"/>
    <col min="6149" max="6149" width="15.33203125" customWidth="1"/>
    <col min="6150" max="6150" width="23.109375" customWidth="1"/>
    <col min="6401" max="6401" width="42.88671875" bestFit="1" customWidth="1"/>
    <col min="6402" max="6402" width="9.33203125" customWidth="1"/>
    <col min="6403" max="6403" width="49.33203125" bestFit="1" customWidth="1"/>
    <col min="6404" max="6404" width="11.5546875" customWidth="1"/>
    <col min="6405" max="6405" width="15.33203125" customWidth="1"/>
    <col min="6406" max="6406" width="23.109375" customWidth="1"/>
    <col min="6657" max="6657" width="42.88671875" bestFit="1" customWidth="1"/>
    <col min="6658" max="6658" width="9.33203125" customWidth="1"/>
    <col min="6659" max="6659" width="49.33203125" bestFit="1" customWidth="1"/>
    <col min="6660" max="6660" width="11.5546875" customWidth="1"/>
    <col min="6661" max="6661" width="15.33203125" customWidth="1"/>
    <col min="6662" max="6662" width="23.109375" customWidth="1"/>
    <col min="6913" max="6913" width="42.88671875" bestFit="1" customWidth="1"/>
    <col min="6914" max="6914" width="9.33203125" customWidth="1"/>
    <col min="6915" max="6915" width="49.33203125" bestFit="1" customWidth="1"/>
    <col min="6916" max="6916" width="11.5546875" customWidth="1"/>
    <col min="6917" max="6917" width="15.33203125" customWidth="1"/>
    <col min="6918" max="6918" width="23.109375" customWidth="1"/>
    <col min="7169" max="7169" width="42.88671875" bestFit="1" customWidth="1"/>
    <col min="7170" max="7170" width="9.33203125" customWidth="1"/>
    <col min="7171" max="7171" width="49.33203125" bestFit="1" customWidth="1"/>
    <col min="7172" max="7172" width="11.5546875" customWidth="1"/>
    <col min="7173" max="7173" width="15.33203125" customWidth="1"/>
    <col min="7174" max="7174" width="23.109375" customWidth="1"/>
    <col min="7425" max="7425" width="42.88671875" bestFit="1" customWidth="1"/>
    <col min="7426" max="7426" width="9.33203125" customWidth="1"/>
    <col min="7427" max="7427" width="49.33203125" bestFit="1" customWidth="1"/>
    <col min="7428" max="7428" width="11.5546875" customWidth="1"/>
    <col min="7429" max="7429" width="15.33203125" customWidth="1"/>
    <col min="7430" max="7430" width="23.109375" customWidth="1"/>
    <col min="7681" max="7681" width="42.88671875" bestFit="1" customWidth="1"/>
    <col min="7682" max="7682" width="9.33203125" customWidth="1"/>
    <col min="7683" max="7683" width="49.33203125" bestFit="1" customWidth="1"/>
    <col min="7684" max="7684" width="11.5546875" customWidth="1"/>
    <col min="7685" max="7685" width="15.33203125" customWidth="1"/>
    <col min="7686" max="7686" width="23.109375" customWidth="1"/>
    <col min="7937" max="7937" width="42.88671875" bestFit="1" customWidth="1"/>
    <col min="7938" max="7938" width="9.33203125" customWidth="1"/>
    <col min="7939" max="7939" width="49.33203125" bestFit="1" customWidth="1"/>
    <col min="7940" max="7940" width="11.5546875" customWidth="1"/>
    <col min="7941" max="7941" width="15.33203125" customWidth="1"/>
    <col min="7942" max="7942" width="23.109375" customWidth="1"/>
    <col min="8193" max="8193" width="42.88671875" bestFit="1" customWidth="1"/>
    <col min="8194" max="8194" width="9.33203125" customWidth="1"/>
    <col min="8195" max="8195" width="49.33203125" bestFit="1" customWidth="1"/>
    <col min="8196" max="8196" width="11.5546875" customWidth="1"/>
    <col min="8197" max="8197" width="15.33203125" customWidth="1"/>
    <col min="8198" max="8198" width="23.109375" customWidth="1"/>
    <col min="8449" max="8449" width="42.88671875" bestFit="1" customWidth="1"/>
    <col min="8450" max="8450" width="9.33203125" customWidth="1"/>
    <col min="8451" max="8451" width="49.33203125" bestFit="1" customWidth="1"/>
    <col min="8452" max="8452" width="11.5546875" customWidth="1"/>
    <col min="8453" max="8453" width="15.33203125" customWidth="1"/>
    <col min="8454" max="8454" width="23.109375" customWidth="1"/>
    <col min="8705" max="8705" width="42.88671875" bestFit="1" customWidth="1"/>
    <col min="8706" max="8706" width="9.33203125" customWidth="1"/>
    <col min="8707" max="8707" width="49.33203125" bestFit="1" customWidth="1"/>
    <col min="8708" max="8708" width="11.5546875" customWidth="1"/>
    <col min="8709" max="8709" width="15.33203125" customWidth="1"/>
    <col min="8710" max="8710" width="23.109375" customWidth="1"/>
    <col min="8961" max="8961" width="42.88671875" bestFit="1" customWidth="1"/>
    <col min="8962" max="8962" width="9.33203125" customWidth="1"/>
    <col min="8963" max="8963" width="49.33203125" bestFit="1" customWidth="1"/>
    <col min="8964" max="8964" width="11.5546875" customWidth="1"/>
    <col min="8965" max="8965" width="15.33203125" customWidth="1"/>
    <col min="8966" max="8966" width="23.109375" customWidth="1"/>
    <col min="9217" max="9217" width="42.88671875" bestFit="1" customWidth="1"/>
    <col min="9218" max="9218" width="9.33203125" customWidth="1"/>
    <col min="9219" max="9219" width="49.33203125" bestFit="1" customWidth="1"/>
    <col min="9220" max="9220" width="11.5546875" customWidth="1"/>
    <col min="9221" max="9221" width="15.33203125" customWidth="1"/>
    <col min="9222" max="9222" width="23.109375" customWidth="1"/>
    <col min="9473" max="9473" width="42.88671875" bestFit="1" customWidth="1"/>
    <col min="9474" max="9474" width="9.33203125" customWidth="1"/>
    <col min="9475" max="9475" width="49.33203125" bestFit="1" customWidth="1"/>
    <col min="9476" max="9476" width="11.5546875" customWidth="1"/>
    <col min="9477" max="9477" width="15.33203125" customWidth="1"/>
    <col min="9478" max="9478" width="23.109375" customWidth="1"/>
    <col min="9729" max="9729" width="42.88671875" bestFit="1" customWidth="1"/>
    <col min="9730" max="9730" width="9.33203125" customWidth="1"/>
    <col min="9731" max="9731" width="49.33203125" bestFit="1" customWidth="1"/>
    <col min="9732" max="9732" width="11.5546875" customWidth="1"/>
    <col min="9733" max="9733" width="15.33203125" customWidth="1"/>
    <col min="9734" max="9734" width="23.109375" customWidth="1"/>
    <col min="9985" max="9985" width="42.88671875" bestFit="1" customWidth="1"/>
    <col min="9986" max="9986" width="9.33203125" customWidth="1"/>
    <col min="9987" max="9987" width="49.33203125" bestFit="1" customWidth="1"/>
    <col min="9988" max="9988" width="11.5546875" customWidth="1"/>
    <col min="9989" max="9989" width="15.33203125" customWidth="1"/>
    <col min="9990" max="9990" width="23.109375" customWidth="1"/>
    <col min="10241" max="10241" width="42.88671875" bestFit="1" customWidth="1"/>
    <col min="10242" max="10242" width="9.33203125" customWidth="1"/>
    <col min="10243" max="10243" width="49.33203125" bestFit="1" customWidth="1"/>
    <col min="10244" max="10244" width="11.5546875" customWidth="1"/>
    <col min="10245" max="10245" width="15.33203125" customWidth="1"/>
    <col min="10246" max="10246" width="23.109375" customWidth="1"/>
    <col min="10497" max="10497" width="42.88671875" bestFit="1" customWidth="1"/>
    <col min="10498" max="10498" width="9.33203125" customWidth="1"/>
    <col min="10499" max="10499" width="49.33203125" bestFit="1" customWidth="1"/>
    <col min="10500" max="10500" width="11.5546875" customWidth="1"/>
    <col min="10501" max="10501" width="15.33203125" customWidth="1"/>
    <col min="10502" max="10502" width="23.109375" customWidth="1"/>
    <col min="10753" max="10753" width="42.88671875" bestFit="1" customWidth="1"/>
    <col min="10754" max="10754" width="9.33203125" customWidth="1"/>
    <col min="10755" max="10755" width="49.33203125" bestFit="1" customWidth="1"/>
    <col min="10756" max="10756" width="11.5546875" customWidth="1"/>
    <col min="10757" max="10757" width="15.33203125" customWidth="1"/>
    <col min="10758" max="10758" width="23.109375" customWidth="1"/>
    <col min="11009" max="11009" width="42.88671875" bestFit="1" customWidth="1"/>
    <col min="11010" max="11010" width="9.33203125" customWidth="1"/>
    <col min="11011" max="11011" width="49.33203125" bestFit="1" customWidth="1"/>
    <col min="11012" max="11012" width="11.5546875" customWidth="1"/>
    <col min="11013" max="11013" width="15.33203125" customWidth="1"/>
    <col min="11014" max="11014" width="23.109375" customWidth="1"/>
    <col min="11265" max="11265" width="42.88671875" bestFit="1" customWidth="1"/>
    <col min="11266" max="11266" width="9.33203125" customWidth="1"/>
    <col min="11267" max="11267" width="49.33203125" bestFit="1" customWidth="1"/>
    <col min="11268" max="11268" width="11.5546875" customWidth="1"/>
    <col min="11269" max="11269" width="15.33203125" customWidth="1"/>
    <col min="11270" max="11270" width="23.109375" customWidth="1"/>
    <col min="11521" max="11521" width="42.88671875" bestFit="1" customWidth="1"/>
    <col min="11522" max="11522" width="9.33203125" customWidth="1"/>
    <col min="11523" max="11523" width="49.33203125" bestFit="1" customWidth="1"/>
    <col min="11524" max="11524" width="11.5546875" customWidth="1"/>
    <col min="11525" max="11525" width="15.33203125" customWidth="1"/>
    <col min="11526" max="11526" width="23.109375" customWidth="1"/>
    <col min="11777" max="11777" width="42.88671875" bestFit="1" customWidth="1"/>
    <col min="11778" max="11778" width="9.33203125" customWidth="1"/>
    <col min="11779" max="11779" width="49.33203125" bestFit="1" customWidth="1"/>
    <col min="11780" max="11780" width="11.5546875" customWidth="1"/>
    <col min="11781" max="11781" width="15.33203125" customWidth="1"/>
    <col min="11782" max="11782" width="23.109375" customWidth="1"/>
    <col min="12033" max="12033" width="42.88671875" bestFit="1" customWidth="1"/>
    <col min="12034" max="12034" width="9.33203125" customWidth="1"/>
    <col min="12035" max="12035" width="49.33203125" bestFit="1" customWidth="1"/>
    <col min="12036" max="12036" width="11.5546875" customWidth="1"/>
    <col min="12037" max="12037" width="15.33203125" customWidth="1"/>
    <col min="12038" max="12038" width="23.109375" customWidth="1"/>
    <col min="12289" max="12289" width="42.88671875" bestFit="1" customWidth="1"/>
    <col min="12290" max="12290" width="9.33203125" customWidth="1"/>
    <col min="12291" max="12291" width="49.33203125" bestFit="1" customWidth="1"/>
    <col min="12292" max="12292" width="11.5546875" customWidth="1"/>
    <col min="12293" max="12293" width="15.33203125" customWidth="1"/>
    <col min="12294" max="12294" width="23.109375" customWidth="1"/>
    <col min="12545" max="12545" width="42.88671875" bestFit="1" customWidth="1"/>
    <col min="12546" max="12546" width="9.33203125" customWidth="1"/>
    <col min="12547" max="12547" width="49.33203125" bestFit="1" customWidth="1"/>
    <col min="12548" max="12548" width="11.5546875" customWidth="1"/>
    <col min="12549" max="12549" width="15.33203125" customWidth="1"/>
    <col min="12550" max="12550" width="23.109375" customWidth="1"/>
    <col min="12801" max="12801" width="42.88671875" bestFit="1" customWidth="1"/>
    <col min="12802" max="12802" width="9.33203125" customWidth="1"/>
    <col min="12803" max="12803" width="49.33203125" bestFit="1" customWidth="1"/>
    <col min="12804" max="12804" width="11.5546875" customWidth="1"/>
    <col min="12805" max="12805" width="15.33203125" customWidth="1"/>
    <col min="12806" max="12806" width="23.109375" customWidth="1"/>
    <col min="13057" max="13057" width="42.88671875" bestFit="1" customWidth="1"/>
    <col min="13058" max="13058" width="9.33203125" customWidth="1"/>
    <col min="13059" max="13059" width="49.33203125" bestFit="1" customWidth="1"/>
    <col min="13060" max="13060" width="11.5546875" customWidth="1"/>
    <col min="13061" max="13061" width="15.33203125" customWidth="1"/>
    <col min="13062" max="13062" width="23.109375" customWidth="1"/>
    <col min="13313" max="13313" width="42.88671875" bestFit="1" customWidth="1"/>
    <col min="13314" max="13314" width="9.33203125" customWidth="1"/>
    <col min="13315" max="13315" width="49.33203125" bestFit="1" customWidth="1"/>
    <col min="13316" max="13316" width="11.5546875" customWidth="1"/>
    <col min="13317" max="13317" width="15.33203125" customWidth="1"/>
    <col min="13318" max="13318" width="23.109375" customWidth="1"/>
    <col min="13569" max="13569" width="42.88671875" bestFit="1" customWidth="1"/>
    <col min="13570" max="13570" width="9.33203125" customWidth="1"/>
    <col min="13571" max="13571" width="49.33203125" bestFit="1" customWidth="1"/>
    <col min="13572" max="13572" width="11.5546875" customWidth="1"/>
    <col min="13573" max="13573" width="15.33203125" customWidth="1"/>
    <col min="13574" max="13574" width="23.109375" customWidth="1"/>
    <col min="13825" max="13825" width="42.88671875" bestFit="1" customWidth="1"/>
    <col min="13826" max="13826" width="9.33203125" customWidth="1"/>
    <col min="13827" max="13827" width="49.33203125" bestFit="1" customWidth="1"/>
    <col min="13828" max="13828" width="11.5546875" customWidth="1"/>
    <col min="13829" max="13829" width="15.33203125" customWidth="1"/>
    <col min="13830" max="13830" width="23.109375" customWidth="1"/>
    <col min="14081" max="14081" width="42.88671875" bestFit="1" customWidth="1"/>
    <col min="14082" max="14082" width="9.33203125" customWidth="1"/>
    <col min="14083" max="14083" width="49.33203125" bestFit="1" customWidth="1"/>
    <col min="14084" max="14084" width="11.5546875" customWidth="1"/>
    <col min="14085" max="14085" width="15.33203125" customWidth="1"/>
    <col min="14086" max="14086" width="23.109375" customWidth="1"/>
    <col min="14337" max="14337" width="42.88671875" bestFit="1" customWidth="1"/>
    <col min="14338" max="14338" width="9.33203125" customWidth="1"/>
    <col min="14339" max="14339" width="49.33203125" bestFit="1" customWidth="1"/>
    <col min="14340" max="14340" width="11.5546875" customWidth="1"/>
    <col min="14341" max="14341" width="15.33203125" customWidth="1"/>
    <col min="14342" max="14342" width="23.109375" customWidth="1"/>
    <col min="14593" max="14593" width="42.88671875" bestFit="1" customWidth="1"/>
    <col min="14594" max="14594" width="9.33203125" customWidth="1"/>
    <col min="14595" max="14595" width="49.33203125" bestFit="1" customWidth="1"/>
    <col min="14596" max="14596" width="11.5546875" customWidth="1"/>
    <col min="14597" max="14597" width="15.33203125" customWidth="1"/>
    <col min="14598" max="14598" width="23.109375" customWidth="1"/>
    <col min="14849" max="14849" width="42.88671875" bestFit="1" customWidth="1"/>
    <col min="14850" max="14850" width="9.33203125" customWidth="1"/>
    <col min="14851" max="14851" width="49.33203125" bestFit="1" customWidth="1"/>
    <col min="14852" max="14852" width="11.5546875" customWidth="1"/>
    <col min="14853" max="14853" width="15.33203125" customWidth="1"/>
    <col min="14854" max="14854" width="23.109375" customWidth="1"/>
    <col min="15105" max="15105" width="42.88671875" bestFit="1" customWidth="1"/>
    <col min="15106" max="15106" width="9.33203125" customWidth="1"/>
    <col min="15107" max="15107" width="49.33203125" bestFit="1" customWidth="1"/>
    <col min="15108" max="15108" width="11.5546875" customWidth="1"/>
    <col min="15109" max="15109" width="15.33203125" customWidth="1"/>
    <col min="15110" max="15110" width="23.109375" customWidth="1"/>
    <col min="15361" max="15361" width="42.88671875" bestFit="1" customWidth="1"/>
    <col min="15362" max="15362" width="9.33203125" customWidth="1"/>
    <col min="15363" max="15363" width="49.33203125" bestFit="1" customWidth="1"/>
    <col min="15364" max="15364" width="11.5546875" customWidth="1"/>
    <col min="15365" max="15365" width="15.33203125" customWidth="1"/>
    <col min="15366" max="15366" width="23.109375" customWidth="1"/>
    <col min="15617" max="15617" width="42.88671875" bestFit="1" customWidth="1"/>
    <col min="15618" max="15618" width="9.33203125" customWidth="1"/>
    <col min="15619" max="15619" width="49.33203125" bestFit="1" customWidth="1"/>
    <col min="15620" max="15620" width="11.5546875" customWidth="1"/>
    <col min="15621" max="15621" width="15.33203125" customWidth="1"/>
    <col min="15622" max="15622" width="23.109375" customWidth="1"/>
    <col min="15873" max="15873" width="42.88671875" bestFit="1" customWidth="1"/>
    <col min="15874" max="15874" width="9.33203125" customWidth="1"/>
    <col min="15875" max="15875" width="49.33203125" bestFit="1" customWidth="1"/>
    <col min="15876" max="15876" width="11.5546875" customWidth="1"/>
    <col min="15877" max="15877" width="15.33203125" customWidth="1"/>
    <col min="15878" max="15878" width="23.109375" customWidth="1"/>
    <col min="16129" max="16129" width="42.88671875" bestFit="1" customWidth="1"/>
    <col min="16130" max="16130" width="9.33203125" customWidth="1"/>
    <col min="16131" max="16131" width="49.33203125" bestFit="1" customWidth="1"/>
    <col min="16132" max="16132" width="11.5546875" customWidth="1"/>
    <col min="16133" max="16133" width="15.33203125" customWidth="1"/>
    <col min="16134" max="16134" width="23.109375" customWidth="1"/>
  </cols>
  <sheetData>
    <row r="1" spans="1:6" s="1" customFormat="1" ht="15.6" x14ac:dyDescent="0.3">
      <c r="A1" s="506" t="s">
        <v>606</v>
      </c>
      <c r="B1" s="507" t="s">
        <v>627</v>
      </c>
      <c r="C1" s="507" t="s">
        <v>628</v>
      </c>
      <c r="D1" s="507" t="s">
        <v>629</v>
      </c>
      <c r="E1" s="508" t="s">
        <v>630</v>
      </c>
      <c r="F1" s="507" t="s">
        <v>533</v>
      </c>
    </row>
    <row r="2" spans="1:6" ht="15" x14ac:dyDescent="0.25">
      <c r="A2" s="509" t="s">
        <v>631</v>
      </c>
      <c r="B2" s="510">
        <v>2.2999999999999998</v>
      </c>
      <c r="C2" s="511" t="s">
        <v>632</v>
      </c>
      <c r="D2" s="510">
        <v>2.0499999999999998</v>
      </c>
      <c r="E2" s="510">
        <f>B2*D2</f>
        <v>4.714999999999999</v>
      </c>
      <c r="F2" s="512" t="s">
        <v>633</v>
      </c>
    </row>
    <row r="3" spans="1:6" ht="15" x14ac:dyDescent="0.25">
      <c r="A3" s="509" t="s">
        <v>634</v>
      </c>
      <c r="B3" s="510">
        <v>2.4</v>
      </c>
      <c r="C3" s="511" t="s">
        <v>635</v>
      </c>
      <c r="D3" s="510">
        <v>2.1</v>
      </c>
      <c r="E3" s="510">
        <f>B3*D3</f>
        <v>5.04</v>
      </c>
      <c r="F3" s="512" t="s">
        <v>636</v>
      </c>
    </row>
    <row r="4" spans="1:6" ht="15" x14ac:dyDescent="0.25">
      <c r="A4" s="509" t="s">
        <v>634</v>
      </c>
      <c r="B4" s="510">
        <v>1.05</v>
      </c>
      <c r="C4" s="511" t="s">
        <v>637</v>
      </c>
      <c r="D4" s="510">
        <v>2.2000000000000002</v>
      </c>
      <c r="E4" s="510">
        <f>B4*D4</f>
        <v>2.3100000000000005</v>
      </c>
      <c r="F4" s="512" t="s">
        <v>636</v>
      </c>
    </row>
    <row r="5" spans="1:6" ht="15" x14ac:dyDescent="0.25">
      <c r="A5" s="509" t="s">
        <v>634</v>
      </c>
      <c r="B5" s="510">
        <v>1.05</v>
      </c>
      <c r="C5" s="511" t="s">
        <v>638</v>
      </c>
      <c r="D5" s="510">
        <v>2.4</v>
      </c>
      <c r="E5" s="510">
        <f>B5*D5</f>
        <v>2.52</v>
      </c>
      <c r="F5" s="512" t="s">
        <v>639</v>
      </c>
    </row>
    <row r="6" spans="1:6" x14ac:dyDescent="0.25">
      <c r="A6" s="505" t="s">
        <v>615</v>
      </c>
    </row>
    <row r="7" spans="1:6" x14ac:dyDescent="0.25">
      <c r="A7" s="505" t="s">
        <v>636</v>
      </c>
    </row>
    <row r="8" spans="1:6" x14ac:dyDescent="0.25">
      <c r="A8" s="505" t="s">
        <v>639</v>
      </c>
    </row>
    <row r="9" spans="1:6" x14ac:dyDescent="0.25">
      <c r="A9" s="505" t="s">
        <v>633</v>
      </c>
    </row>
    <row r="10" spans="1:6" x14ac:dyDescent="0.25">
      <c r="A10" s="505" t="s">
        <v>640</v>
      </c>
    </row>
  </sheetData>
  <dataValidations count="1">
    <dataValidation type="list" allowBlank="1" showInputMessage="1" showErrorMessage="1" sqref="F2:F5 JB2:JB5 SX2:SX5 ACT2:ACT5 AMP2:AMP5 AWL2:AWL5 BGH2:BGH5 BQD2:BQD5 BZZ2:BZZ5 CJV2:CJV5 CTR2:CTR5 DDN2:DDN5 DNJ2:DNJ5 DXF2:DXF5 EHB2:EHB5 EQX2:EQX5 FAT2:FAT5 FKP2:FKP5 FUL2:FUL5 GEH2:GEH5 GOD2:GOD5 GXZ2:GXZ5 HHV2:HHV5 HRR2:HRR5 IBN2:IBN5 ILJ2:ILJ5 IVF2:IVF5 JFB2:JFB5 JOX2:JOX5 JYT2:JYT5 KIP2:KIP5 KSL2:KSL5 LCH2:LCH5 LMD2:LMD5 LVZ2:LVZ5 MFV2:MFV5 MPR2:MPR5 MZN2:MZN5 NJJ2:NJJ5 NTF2:NTF5 ODB2:ODB5 OMX2:OMX5 OWT2:OWT5 PGP2:PGP5 PQL2:PQL5 QAH2:QAH5 QKD2:QKD5 QTZ2:QTZ5 RDV2:RDV5 RNR2:RNR5 RXN2:RXN5 SHJ2:SHJ5 SRF2:SRF5 TBB2:TBB5 TKX2:TKX5 TUT2:TUT5 UEP2:UEP5 UOL2:UOL5 UYH2:UYH5 VID2:VID5 VRZ2:VRZ5 WBV2:WBV5 WLR2:WLR5 WVN2:WVN5 F65538:F65541 JB65538:JB65541 SX65538:SX65541 ACT65538:ACT65541 AMP65538:AMP65541 AWL65538:AWL65541 BGH65538:BGH65541 BQD65538:BQD65541 BZZ65538:BZZ65541 CJV65538:CJV65541 CTR65538:CTR65541 DDN65538:DDN65541 DNJ65538:DNJ65541 DXF65538:DXF65541 EHB65538:EHB65541 EQX65538:EQX65541 FAT65538:FAT65541 FKP65538:FKP65541 FUL65538:FUL65541 GEH65538:GEH65541 GOD65538:GOD65541 GXZ65538:GXZ65541 HHV65538:HHV65541 HRR65538:HRR65541 IBN65538:IBN65541 ILJ65538:ILJ65541 IVF65538:IVF65541 JFB65538:JFB65541 JOX65538:JOX65541 JYT65538:JYT65541 KIP65538:KIP65541 KSL65538:KSL65541 LCH65538:LCH65541 LMD65538:LMD65541 LVZ65538:LVZ65541 MFV65538:MFV65541 MPR65538:MPR65541 MZN65538:MZN65541 NJJ65538:NJJ65541 NTF65538:NTF65541 ODB65538:ODB65541 OMX65538:OMX65541 OWT65538:OWT65541 PGP65538:PGP65541 PQL65538:PQL65541 QAH65538:QAH65541 QKD65538:QKD65541 QTZ65538:QTZ65541 RDV65538:RDV65541 RNR65538:RNR65541 RXN65538:RXN65541 SHJ65538:SHJ65541 SRF65538:SRF65541 TBB65538:TBB65541 TKX65538:TKX65541 TUT65538:TUT65541 UEP65538:UEP65541 UOL65538:UOL65541 UYH65538:UYH65541 VID65538:VID65541 VRZ65538:VRZ65541 WBV65538:WBV65541 WLR65538:WLR65541 WVN65538:WVN65541 F131074:F131077 JB131074:JB131077 SX131074:SX131077 ACT131074:ACT131077 AMP131074:AMP131077 AWL131074:AWL131077 BGH131074:BGH131077 BQD131074:BQD131077 BZZ131074:BZZ131077 CJV131074:CJV131077 CTR131074:CTR131077 DDN131074:DDN131077 DNJ131074:DNJ131077 DXF131074:DXF131077 EHB131074:EHB131077 EQX131074:EQX131077 FAT131074:FAT131077 FKP131074:FKP131077 FUL131074:FUL131077 GEH131074:GEH131077 GOD131074:GOD131077 GXZ131074:GXZ131077 HHV131074:HHV131077 HRR131074:HRR131077 IBN131074:IBN131077 ILJ131074:ILJ131077 IVF131074:IVF131077 JFB131074:JFB131077 JOX131074:JOX131077 JYT131074:JYT131077 KIP131074:KIP131077 KSL131074:KSL131077 LCH131074:LCH131077 LMD131074:LMD131077 LVZ131074:LVZ131077 MFV131074:MFV131077 MPR131074:MPR131077 MZN131074:MZN131077 NJJ131074:NJJ131077 NTF131074:NTF131077 ODB131074:ODB131077 OMX131074:OMX131077 OWT131074:OWT131077 PGP131074:PGP131077 PQL131074:PQL131077 QAH131074:QAH131077 QKD131074:QKD131077 QTZ131074:QTZ131077 RDV131074:RDV131077 RNR131074:RNR131077 RXN131074:RXN131077 SHJ131074:SHJ131077 SRF131074:SRF131077 TBB131074:TBB131077 TKX131074:TKX131077 TUT131074:TUT131077 UEP131074:UEP131077 UOL131074:UOL131077 UYH131074:UYH131077 VID131074:VID131077 VRZ131074:VRZ131077 WBV131074:WBV131077 WLR131074:WLR131077 WVN131074:WVN131077 F196610:F196613 JB196610:JB196613 SX196610:SX196613 ACT196610:ACT196613 AMP196610:AMP196613 AWL196610:AWL196613 BGH196610:BGH196613 BQD196610:BQD196613 BZZ196610:BZZ196613 CJV196610:CJV196613 CTR196610:CTR196613 DDN196610:DDN196613 DNJ196610:DNJ196613 DXF196610:DXF196613 EHB196610:EHB196613 EQX196610:EQX196613 FAT196610:FAT196613 FKP196610:FKP196613 FUL196610:FUL196613 GEH196610:GEH196613 GOD196610:GOD196613 GXZ196610:GXZ196613 HHV196610:HHV196613 HRR196610:HRR196613 IBN196610:IBN196613 ILJ196610:ILJ196613 IVF196610:IVF196613 JFB196610:JFB196613 JOX196610:JOX196613 JYT196610:JYT196613 KIP196610:KIP196613 KSL196610:KSL196613 LCH196610:LCH196613 LMD196610:LMD196613 LVZ196610:LVZ196613 MFV196610:MFV196613 MPR196610:MPR196613 MZN196610:MZN196613 NJJ196610:NJJ196613 NTF196610:NTF196613 ODB196610:ODB196613 OMX196610:OMX196613 OWT196610:OWT196613 PGP196610:PGP196613 PQL196610:PQL196613 QAH196610:QAH196613 QKD196610:QKD196613 QTZ196610:QTZ196613 RDV196610:RDV196613 RNR196610:RNR196613 RXN196610:RXN196613 SHJ196610:SHJ196613 SRF196610:SRF196613 TBB196610:TBB196613 TKX196610:TKX196613 TUT196610:TUT196613 UEP196610:UEP196613 UOL196610:UOL196613 UYH196610:UYH196613 VID196610:VID196613 VRZ196610:VRZ196613 WBV196610:WBV196613 WLR196610:WLR196613 WVN196610:WVN196613 F262146:F262149 JB262146:JB262149 SX262146:SX262149 ACT262146:ACT262149 AMP262146:AMP262149 AWL262146:AWL262149 BGH262146:BGH262149 BQD262146:BQD262149 BZZ262146:BZZ262149 CJV262146:CJV262149 CTR262146:CTR262149 DDN262146:DDN262149 DNJ262146:DNJ262149 DXF262146:DXF262149 EHB262146:EHB262149 EQX262146:EQX262149 FAT262146:FAT262149 FKP262146:FKP262149 FUL262146:FUL262149 GEH262146:GEH262149 GOD262146:GOD262149 GXZ262146:GXZ262149 HHV262146:HHV262149 HRR262146:HRR262149 IBN262146:IBN262149 ILJ262146:ILJ262149 IVF262146:IVF262149 JFB262146:JFB262149 JOX262146:JOX262149 JYT262146:JYT262149 KIP262146:KIP262149 KSL262146:KSL262149 LCH262146:LCH262149 LMD262146:LMD262149 LVZ262146:LVZ262149 MFV262146:MFV262149 MPR262146:MPR262149 MZN262146:MZN262149 NJJ262146:NJJ262149 NTF262146:NTF262149 ODB262146:ODB262149 OMX262146:OMX262149 OWT262146:OWT262149 PGP262146:PGP262149 PQL262146:PQL262149 QAH262146:QAH262149 QKD262146:QKD262149 QTZ262146:QTZ262149 RDV262146:RDV262149 RNR262146:RNR262149 RXN262146:RXN262149 SHJ262146:SHJ262149 SRF262146:SRF262149 TBB262146:TBB262149 TKX262146:TKX262149 TUT262146:TUT262149 UEP262146:UEP262149 UOL262146:UOL262149 UYH262146:UYH262149 VID262146:VID262149 VRZ262146:VRZ262149 WBV262146:WBV262149 WLR262146:WLR262149 WVN262146:WVN262149 F327682:F327685 JB327682:JB327685 SX327682:SX327685 ACT327682:ACT327685 AMP327682:AMP327685 AWL327682:AWL327685 BGH327682:BGH327685 BQD327682:BQD327685 BZZ327682:BZZ327685 CJV327682:CJV327685 CTR327682:CTR327685 DDN327682:DDN327685 DNJ327682:DNJ327685 DXF327682:DXF327685 EHB327682:EHB327685 EQX327682:EQX327685 FAT327682:FAT327685 FKP327682:FKP327685 FUL327682:FUL327685 GEH327682:GEH327685 GOD327682:GOD327685 GXZ327682:GXZ327685 HHV327682:HHV327685 HRR327682:HRR327685 IBN327682:IBN327685 ILJ327682:ILJ327685 IVF327682:IVF327685 JFB327682:JFB327685 JOX327682:JOX327685 JYT327682:JYT327685 KIP327682:KIP327685 KSL327682:KSL327685 LCH327682:LCH327685 LMD327682:LMD327685 LVZ327682:LVZ327685 MFV327682:MFV327685 MPR327682:MPR327685 MZN327682:MZN327685 NJJ327682:NJJ327685 NTF327682:NTF327685 ODB327682:ODB327685 OMX327682:OMX327685 OWT327682:OWT327685 PGP327682:PGP327685 PQL327682:PQL327685 QAH327682:QAH327685 QKD327682:QKD327685 QTZ327682:QTZ327685 RDV327682:RDV327685 RNR327682:RNR327685 RXN327682:RXN327685 SHJ327682:SHJ327685 SRF327682:SRF327685 TBB327682:TBB327685 TKX327682:TKX327685 TUT327682:TUT327685 UEP327682:UEP327685 UOL327682:UOL327685 UYH327682:UYH327685 VID327682:VID327685 VRZ327682:VRZ327685 WBV327682:WBV327685 WLR327682:WLR327685 WVN327682:WVN327685 F393218:F393221 JB393218:JB393221 SX393218:SX393221 ACT393218:ACT393221 AMP393218:AMP393221 AWL393218:AWL393221 BGH393218:BGH393221 BQD393218:BQD393221 BZZ393218:BZZ393221 CJV393218:CJV393221 CTR393218:CTR393221 DDN393218:DDN393221 DNJ393218:DNJ393221 DXF393218:DXF393221 EHB393218:EHB393221 EQX393218:EQX393221 FAT393218:FAT393221 FKP393218:FKP393221 FUL393218:FUL393221 GEH393218:GEH393221 GOD393218:GOD393221 GXZ393218:GXZ393221 HHV393218:HHV393221 HRR393218:HRR393221 IBN393218:IBN393221 ILJ393218:ILJ393221 IVF393218:IVF393221 JFB393218:JFB393221 JOX393218:JOX393221 JYT393218:JYT393221 KIP393218:KIP393221 KSL393218:KSL393221 LCH393218:LCH393221 LMD393218:LMD393221 LVZ393218:LVZ393221 MFV393218:MFV393221 MPR393218:MPR393221 MZN393218:MZN393221 NJJ393218:NJJ393221 NTF393218:NTF393221 ODB393218:ODB393221 OMX393218:OMX393221 OWT393218:OWT393221 PGP393218:PGP393221 PQL393218:PQL393221 QAH393218:QAH393221 QKD393218:QKD393221 QTZ393218:QTZ393221 RDV393218:RDV393221 RNR393218:RNR393221 RXN393218:RXN393221 SHJ393218:SHJ393221 SRF393218:SRF393221 TBB393218:TBB393221 TKX393218:TKX393221 TUT393218:TUT393221 UEP393218:UEP393221 UOL393218:UOL393221 UYH393218:UYH393221 VID393218:VID393221 VRZ393218:VRZ393221 WBV393218:WBV393221 WLR393218:WLR393221 WVN393218:WVN393221 F458754:F458757 JB458754:JB458757 SX458754:SX458757 ACT458754:ACT458757 AMP458754:AMP458757 AWL458754:AWL458757 BGH458754:BGH458757 BQD458754:BQD458757 BZZ458754:BZZ458757 CJV458754:CJV458757 CTR458754:CTR458757 DDN458754:DDN458757 DNJ458754:DNJ458757 DXF458754:DXF458757 EHB458754:EHB458757 EQX458754:EQX458757 FAT458754:FAT458757 FKP458754:FKP458757 FUL458754:FUL458757 GEH458754:GEH458757 GOD458754:GOD458757 GXZ458754:GXZ458757 HHV458754:HHV458757 HRR458754:HRR458757 IBN458754:IBN458757 ILJ458754:ILJ458757 IVF458754:IVF458757 JFB458754:JFB458757 JOX458754:JOX458757 JYT458754:JYT458757 KIP458754:KIP458757 KSL458754:KSL458757 LCH458754:LCH458757 LMD458754:LMD458757 LVZ458754:LVZ458757 MFV458754:MFV458757 MPR458754:MPR458757 MZN458754:MZN458757 NJJ458754:NJJ458757 NTF458754:NTF458757 ODB458754:ODB458757 OMX458754:OMX458757 OWT458754:OWT458757 PGP458754:PGP458757 PQL458754:PQL458757 QAH458754:QAH458757 QKD458754:QKD458757 QTZ458754:QTZ458757 RDV458754:RDV458757 RNR458754:RNR458757 RXN458754:RXN458757 SHJ458754:SHJ458757 SRF458754:SRF458757 TBB458754:TBB458757 TKX458754:TKX458757 TUT458754:TUT458757 UEP458754:UEP458757 UOL458754:UOL458757 UYH458754:UYH458757 VID458754:VID458757 VRZ458754:VRZ458757 WBV458754:WBV458757 WLR458754:WLR458757 WVN458754:WVN458757 F524290:F524293 JB524290:JB524293 SX524290:SX524293 ACT524290:ACT524293 AMP524290:AMP524293 AWL524290:AWL524293 BGH524290:BGH524293 BQD524290:BQD524293 BZZ524290:BZZ524293 CJV524290:CJV524293 CTR524290:CTR524293 DDN524290:DDN524293 DNJ524290:DNJ524293 DXF524290:DXF524293 EHB524290:EHB524293 EQX524290:EQX524293 FAT524290:FAT524293 FKP524290:FKP524293 FUL524290:FUL524293 GEH524290:GEH524293 GOD524290:GOD524293 GXZ524290:GXZ524293 HHV524290:HHV524293 HRR524290:HRR524293 IBN524290:IBN524293 ILJ524290:ILJ524293 IVF524290:IVF524293 JFB524290:JFB524293 JOX524290:JOX524293 JYT524290:JYT524293 KIP524290:KIP524293 KSL524290:KSL524293 LCH524290:LCH524293 LMD524290:LMD524293 LVZ524290:LVZ524293 MFV524290:MFV524293 MPR524290:MPR524293 MZN524290:MZN524293 NJJ524290:NJJ524293 NTF524290:NTF524293 ODB524290:ODB524293 OMX524290:OMX524293 OWT524290:OWT524293 PGP524290:PGP524293 PQL524290:PQL524293 QAH524290:QAH524293 QKD524290:QKD524293 QTZ524290:QTZ524293 RDV524290:RDV524293 RNR524290:RNR524293 RXN524290:RXN524293 SHJ524290:SHJ524293 SRF524290:SRF524293 TBB524290:TBB524293 TKX524290:TKX524293 TUT524290:TUT524293 UEP524290:UEP524293 UOL524290:UOL524293 UYH524290:UYH524293 VID524290:VID524293 VRZ524290:VRZ524293 WBV524290:WBV524293 WLR524290:WLR524293 WVN524290:WVN524293 F589826:F589829 JB589826:JB589829 SX589826:SX589829 ACT589826:ACT589829 AMP589826:AMP589829 AWL589826:AWL589829 BGH589826:BGH589829 BQD589826:BQD589829 BZZ589826:BZZ589829 CJV589826:CJV589829 CTR589826:CTR589829 DDN589826:DDN589829 DNJ589826:DNJ589829 DXF589826:DXF589829 EHB589826:EHB589829 EQX589826:EQX589829 FAT589826:FAT589829 FKP589826:FKP589829 FUL589826:FUL589829 GEH589826:GEH589829 GOD589826:GOD589829 GXZ589826:GXZ589829 HHV589826:HHV589829 HRR589826:HRR589829 IBN589826:IBN589829 ILJ589826:ILJ589829 IVF589826:IVF589829 JFB589826:JFB589829 JOX589826:JOX589829 JYT589826:JYT589829 KIP589826:KIP589829 KSL589826:KSL589829 LCH589826:LCH589829 LMD589826:LMD589829 LVZ589826:LVZ589829 MFV589826:MFV589829 MPR589826:MPR589829 MZN589826:MZN589829 NJJ589826:NJJ589829 NTF589826:NTF589829 ODB589826:ODB589829 OMX589826:OMX589829 OWT589826:OWT589829 PGP589826:PGP589829 PQL589826:PQL589829 QAH589826:QAH589829 QKD589826:QKD589829 QTZ589826:QTZ589829 RDV589826:RDV589829 RNR589826:RNR589829 RXN589826:RXN589829 SHJ589826:SHJ589829 SRF589826:SRF589829 TBB589826:TBB589829 TKX589826:TKX589829 TUT589826:TUT589829 UEP589826:UEP589829 UOL589826:UOL589829 UYH589826:UYH589829 VID589826:VID589829 VRZ589826:VRZ589829 WBV589826:WBV589829 WLR589826:WLR589829 WVN589826:WVN589829 F655362:F655365 JB655362:JB655365 SX655362:SX655365 ACT655362:ACT655365 AMP655362:AMP655365 AWL655362:AWL655365 BGH655362:BGH655365 BQD655362:BQD655365 BZZ655362:BZZ655365 CJV655362:CJV655365 CTR655362:CTR655365 DDN655362:DDN655365 DNJ655362:DNJ655365 DXF655362:DXF655365 EHB655362:EHB655365 EQX655362:EQX655365 FAT655362:FAT655365 FKP655362:FKP655365 FUL655362:FUL655365 GEH655362:GEH655365 GOD655362:GOD655365 GXZ655362:GXZ655365 HHV655362:HHV655365 HRR655362:HRR655365 IBN655362:IBN655365 ILJ655362:ILJ655365 IVF655362:IVF655365 JFB655362:JFB655365 JOX655362:JOX655365 JYT655362:JYT655365 KIP655362:KIP655365 KSL655362:KSL655365 LCH655362:LCH655365 LMD655362:LMD655365 LVZ655362:LVZ655365 MFV655362:MFV655365 MPR655362:MPR655365 MZN655362:MZN655365 NJJ655362:NJJ655365 NTF655362:NTF655365 ODB655362:ODB655365 OMX655362:OMX655365 OWT655362:OWT655365 PGP655362:PGP655365 PQL655362:PQL655365 QAH655362:QAH655365 QKD655362:QKD655365 QTZ655362:QTZ655365 RDV655362:RDV655365 RNR655362:RNR655365 RXN655362:RXN655365 SHJ655362:SHJ655365 SRF655362:SRF655365 TBB655362:TBB655365 TKX655362:TKX655365 TUT655362:TUT655365 UEP655362:UEP655365 UOL655362:UOL655365 UYH655362:UYH655365 VID655362:VID655365 VRZ655362:VRZ655365 WBV655362:WBV655365 WLR655362:WLR655365 WVN655362:WVN655365 F720898:F720901 JB720898:JB720901 SX720898:SX720901 ACT720898:ACT720901 AMP720898:AMP720901 AWL720898:AWL720901 BGH720898:BGH720901 BQD720898:BQD720901 BZZ720898:BZZ720901 CJV720898:CJV720901 CTR720898:CTR720901 DDN720898:DDN720901 DNJ720898:DNJ720901 DXF720898:DXF720901 EHB720898:EHB720901 EQX720898:EQX720901 FAT720898:FAT720901 FKP720898:FKP720901 FUL720898:FUL720901 GEH720898:GEH720901 GOD720898:GOD720901 GXZ720898:GXZ720901 HHV720898:HHV720901 HRR720898:HRR720901 IBN720898:IBN720901 ILJ720898:ILJ720901 IVF720898:IVF720901 JFB720898:JFB720901 JOX720898:JOX720901 JYT720898:JYT720901 KIP720898:KIP720901 KSL720898:KSL720901 LCH720898:LCH720901 LMD720898:LMD720901 LVZ720898:LVZ720901 MFV720898:MFV720901 MPR720898:MPR720901 MZN720898:MZN720901 NJJ720898:NJJ720901 NTF720898:NTF720901 ODB720898:ODB720901 OMX720898:OMX720901 OWT720898:OWT720901 PGP720898:PGP720901 PQL720898:PQL720901 QAH720898:QAH720901 QKD720898:QKD720901 QTZ720898:QTZ720901 RDV720898:RDV720901 RNR720898:RNR720901 RXN720898:RXN720901 SHJ720898:SHJ720901 SRF720898:SRF720901 TBB720898:TBB720901 TKX720898:TKX720901 TUT720898:TUT720901 UEP720898:UEP720901 UOL720898:UOL720901 UYH720898:UYH720901 VID720898:VID720901 VRZ720898:VRZ720901 WBV720898:WBV720901 WLR720898:WLR720901 WVN720898:WVN720901 F786434:F786437 JB786434:JB786437 SX786434:SX786437 ACT786434:ACT786437 AMP786434:AMP786437 AWL786434:AWL786437 BGH786434:BGH786437 BQD786434:BQD786437 BZZ786434:BZZ786437 CJV786434:CJV786437 CTR786434:CTR786437 DDN786434:DDN786437 DNJ786434:DNJ786437 DXF786434:DXF786437 EHB786434:EHB786437 EQX786434:EQX786437 FAT786434:FAT786437 FKP786434:FKP786437 FUL786434:FUL786437 GEH786434:GEH786437 GOD786434:GOD786437 GXZ786434:GXZ786437 HHV786434:HHV786437 HRR786434:HRR786437 IBN786434:IBN786437 ILJ786434:ILJ786437 IVF786434:IVF786437 JFB786434:JFB786437 JOX786434:JOX786437 JYT786434:JYT786437 KIP786434:KIP786437 KSL786434:KSL786437 LCH786434:LCH786437 LMD786434:LMD786437 LVZ786434:LVZ786437 MFV786434:MFV786437 MPR786434:MPR786437 MZN786434:MZN786437 NJJ786434:NJJ786437 NTF786434:NTF786437 ODB786434:ODB786437 OMX786434:OMX786437 OWT786434:OWT786437 PGP786434:PGP786437 PQL786434:PQL786437 QAH786434:QAH786437 QKD786434:QKD786437 QTZ786434:QTZ786437 RDV786434:RDV786437 RNR786434:RNR786437 RXN786434:RXN786437 SHJ786434:SHJ786437 SRF786434:SRF786437 TBB786434:TBB786437 TKX786434:TKX786437 TUT786434:TUT786437 UEP786434:UEP786437 UOL786434:UOL786437 UYH786434:UYH786437 VID786434:VID786437 VRZ786434:VRZ786437 WBV786434:WBV786437 WLR786434:WLR786437 WVN786434:WVN786437 F851970:F851973 JB851970:JB851973 SX851970:SX851973 ACT851970:ACT851973 AMP851970:AMP851973 AWL851970:AWL851973 BGH851970:BGH851973 BQD851970:BQD851973 BZZ851970:BZZ851973 CJV851970:CJV851973 CTR851970:CTR851973 DDN851970:DDN851973 DNJ851970:DNJ851973 DXF851970:DXF851973 EHB851970:EHB851973 EQX851970:EQX851973 FAT851970:FAT851973 FKP851970:FKP851973 FUL851970:FUL851973 GEH851970:GEH851973 GOD851970:GOD851973 GXZ851970:GXZ851973 HHV851970:HHV851973 HRR851970:HRR851973 IBN851970:IBN851973 ILJ851970:ILJ851973 IVF851970:IVF851973 JFB851970:JFB851973 JOX851970:JOX851973 JYT851970:JYT851973 KIP851970:KIP851973 KSL851970:KSL851973 LCH851970:LCH851973 LMD851970:LMD851973 LVZ851970:LVZ851973 MFV851970:MFV851973 MPR851970:MPR851973 MZN851970:MZN851973 NJJ851970:NJJ851973 NTF851970:NTF851973 ODB851970:ODB851973 OMX851970:OMX851973 OWT851970:OWT851973 PGP851970:PGP851973 PQL851970:PQL851973 QAH851970:QAH851973 QKD851970:QKD851973 QTZ851970:QTZ851973 RDV851970:RDV851973 RNR851970:RNR851973 RXN851970:RXN851973 SHJ851970:SHJ851973 SRF851970:SRF851973 TBB851970:TBB851973 TKX851970:TKX851973 TUT851970:TUT851973 UEP851970:UEP851973 UOL851970:UOL851973 UYH851970:UYH851973 VID851970:VID851973 VRZ851970:VRZ851973 WBV851970:WBV851973 WLR851970:WLR851973 WVN851970:WVN851973 F917506:F917509 JB917506:JB917509 SX917506:SX917509 ACT917506:ACT917509 AMP917506:AMP917509 AWL917506:AWL917509 BGH917506:BGH917509 BQD917506:BQD917509 BZZ917506:BZZ917509 CJV917506:CJV917509 CTR917506:CTR917509 DDN917506:DDN917509 DNJ917506:DNJ917509 DXF917506:DXF917509 EHB917506:EHB917509 EQX917506:EQX917509 FAT917506:FAT917509 FKP917506:FKP917509 FUL917506:FUL917509 GEH917506:GEH917509 GOD917506:GOD917509 GXZ917506:GXZ917509 HHV917506:HHV917509 HRR917506:HRR917509 IBN917506:IBN917509 ILJ917506:ILJ917509 IVF917506:IVF917509 JFB917506:JFB917509 JOX917506:JOX917509 JYT917506:JYT917509 KIP917506:KIP917509 KSL917506:KSL917509 LCH917506:LCH917509 LMD917506:LMD917509 LVZ917506:LVZ917509 MFV917506:MFV917509 MPR917506:MPR917509 MZN917506:MZN917509 NJJ917506:NJJ917509 NTF917506:NTF917509 ODB917506:ODB917509 OMX917506:OMX917509 OWT917506:OWT917509 PGP917506:PGP917509 PQL917506:PQL917509 QAH917506:QAH917509 QKD917506:QKD917509 QTZ917506:QTZ917509 RDV917506:RDV917509 RNR917506:RNR917509 RXN917506:RXN917509 SHJ917506:SHJ917509 SRF917506:SRF917509 TBB917506:TBB917509 TKX917506:TKX917509 TUT917506:TUT917509 UEP917506:UEP917509 UOL917506:UOL917509 UYH917506:UYH917509 VID917506:VID917509 VRZ917506:VRZ917509 WBV917506:WBV917509 WLR917506:WLR917509 WVN917506:WVN917509 F983042:F983045 JB983042:JB983045 SX983042:SX983045 ACT983042:ACT983045 AMP983042:AMP983045 AWL983042:AWL983045 BGH983042:BGH983045 BQD983042:BQD983045 BZZ983042:BZZ983045 CJV983042:CJV983045 CTR983042:CTR983045 DDN983042:DDN983045 DNJ983042:DNJ983045 DXF983042:DXF983045 EHB983042:EHB983045 EQX983042:EQX983045 FAT983042:FAT983045 FKP983042:FKP983045 FUL983042:FUL983045 GEH983042:GEH983045 GOD983042:GOD983045 GXZ983042:GXZ983045 HHV983042:HHV983045 HRR983042:HRR983045 IBN983042:IBN983045 ILJ983042:ILJ983045 IVF983042:IVF983045 JFB983042:JFB983045 JOX983042:JOX983045 JYT983042:JYT983045 KIP983042:KIP983045 KSL983042:KSL983045 LCH983042:LCH983045 LMD983042:LMD983045 LVZ983042:LVZ983045 MFV983042:MFV983045 MPR983042:MPR983045 MZN983042:MZN983045 NJJ983042:NJJ983045 NTF983042:NTF983045 ODB983042:ODB983045 OMX983042:OMX983045 OWT983042:OWT983045 PGP983042:PGP983045 PQL983042:PQL983045 QAH983042:QAH983045 QKD983042:QKD983045 QTZ983042:QTZ983045 RDV983042:RDV983045 RNR983042:RNR983045 RXN983042:RXN983045 SHJ983042:SHJ983045 SRF983042:SRF983045 TBB983042:TBB983045 TKX983042:TKX983045 TUT983042:TUT983045 UEP983042:UEP983045 UOL983042:UOL983045 UYH983042:UYH983045 VID983042:VID983045 VRZ983042:VRZ983045 WBV983042:WBV983045 WLR983042:WLR983045 WVN983042:WVN983045" xr:uid="{61D03FAE-CFA3-4FF4-B6ED-05B8FC646B70}">
      <formula1>$A$6:$A$9</formula1>
    </dataValidation>
  </dataValidations>
  <pageMargins left="0.75" right="0.75" top="1" bottom="1" header="0.49212598499999999" footer="0.49212598499999999"/>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60DE-21C4-4B83-AFF4-F50365B0208D}">
  <dimension ref="A1:Z78"/>
  <sheetViews>
    <sheetView showGridLines="0" topLeftCell="E6" zoomScale="64" zoomScaleNormal="70" workbookViewId="0">
      <selection activeCell="L24" sqref="L24"/>
    </sheetView>
  </sheetViews>
  <sheetFormatPr defaultRowHeight="13.2" x14ac:dyDescent="0.25"/>
  <cols>
    <col min="1" max="1" width="37.44140625" customWidth="1"/>
    <col min="2" max="2" width="19.44140625" customWidth="1"/>
    <col min="3" max="3" width="19.109375" customWidth="1"/>
    <col min="4" max="4" width="19.88671875" customWidth="1"/>
    <col min="7" max="7" width="19" customWidth="1"/>
    <col min="8" max="8" width="16.109375" customWidth="1"/>
    <col min="9" max="9" width="28.44140625" customWidth="1"/>
    <col min="10" max="10" width="12.44140625" customWidth="1"/>
    <col min="11" max="11" width="19.33203125" customWidth="1"/>
    <col min="12" max="12" width="20.88671875" customWidth="1"/>
    <col min="13" max="13" width="21.109375" customWidth="1"/>
    <col min="21" max="21" width="4.33203125" customWidth="1"/>
    <col min="22" max="22" width="5.44140625" customWidth="1"/>
    <col min="23" max="23" width="2.33203125" customWidth="1"/>
  </cols>
  <sheetData>
    <row r="1" spans="1:26" ht="14.4" x14ac:dyDescent="0.25">
      <c r="A1" s="514" t="s">
        <v>641</v>
      </c>
      <c r="B1" s="22"/>
      <c r="C1" s="22"/>
    </row>
    <row r="2" spans="1:26" ht="14.4" x14ac:dyDescent="0.25">
      <c r="A2" s="515"/>
    </row>
    <row r="3" spans="1:26" ht="14.4" x14ac:dyDescent="0.25">
      <c r="A3" s="514" t="s">
        <v>642</v>
      </c>
      <c r="B3" s="22"/>
    </row>
    <row r="4" spans="1:26" ht="15" thickBot="1" x14ac:dyDescent="0.3">
      <c r="A4" s="514"/>
      <c r="B4" s="22"/>
    </row>
    <row r="5" spans="1:26" ht="54.75" customHeight="1" thickBot="1" x14ac:dyDescent="0.3">
      <c r="A5" s="516" t="s">
        <v>643</v>
      </c>
      <c r="B5" s="517" t="s">
        <v>644</v>
      </c>
      <c r="C5" s="517" t="s">
        <v>645</v>
      </c>
      <c r="D5" s="517" t="s">
        <v>646</v>
      </c>
      <c r="G5" s="680" t="s">
        <v>647</v>
      </c>
      <c r="H5" s="681"/>
      <c r="I5" s="681"/>
      <c r="J5" s="681"/>
      <c r="K5" s="681"/>
      <c r="L5" s="681"/>
      <c r="M5" s="681"/>
      <c r="N5" s="681"/>
      <c r="O5" s="681"/>
      <c r="P5" s="681"/>
      <c r="Q5" s="681"/>
      <c r="R5" s="681"/>
      <c r="S5" s="681"/>
      <c r="T5" s="681"/>
      <c r="U5" s="681"/>
      <c r="V5" s="681"/>
      <c r="W5" s="681"/>
      <c r="X5" s="682"/>
      <c r="Y5" s="683"/>
      <c r="Z5" s="684"/>
    </row>
    <row r="6" spans="1:26" ht="144.6" thickBot="1" x14ac:dyDescent="0.3">
      <c r="A6" s="519" t="s">
        <v>204</v>
      </c>
      <c r="B6" s="520" t="s">
        <v>648</v>
      </c>
      <c r="C6" s="520" t="s">
        <v>208</v>
      </c>
      <c r="D6" s="520" t="s">
        <v>649</v>
      </c>
      <c r="G6" s="685" t="s">
        <v>650</v>
      </c>
      <c r="H6" s="686"/>
      <c r="I6" s="686"/>
      <c r="J6" s="686"/>
      <c r="K6" s="686"/>
      <c r="L6" s="686"/>
      <c r="M6" s="521"/>
      <c r="N6" s="521"/>
      <c r="O6" s="686" t="s">
        <v>651</v>
      </c>
      <c r="P6" s="686"/>
      <c r="Q6" s="686"/>
      <c r="R6" s="686"/>
      <c r="S6" s="686"/>
      <c r="T6" s="686"/>
      <c r="U6" s="686"/>
      <c r="V6" s="686"/>
      <c r="W6" s="686"/>
      <c r="X6" s="687"/>
      <c r="Y6" s="683"/>
      <c r="Z6" s="684"/>
    </row>
    <row r="7" spans="1:26" ht="173.4" thickBot="1" x14ac:dyDescent="0.3">
      <c r="A7" s="519" t="s">
        <v>217</v>
      </c>
      <c r="B7" s="520" t="s">
        <v>652</v>
      </c>
      <c r="C7" s="520" t="s">
        <v>653</v>
      </c>
      <c r="D7" s="520" t="s">
        <v>654</v>
      </c>
      <c r="G7" s="522"/>
      <c r="H7" s="522"/>
      <c r="I7" s="523"/>
      <c r="J7" s="523"/>
      <c r="K7" s="523"/>
      <c r="L7" s="523"/>
      <c r="M7" s="523"/>
      <c r="N7" s="677"/>
      <c r="O7" s="677"/>
      <c r="P7" s="677"/>
      <c r="Q7" s="678"/>
      <c r="R7" s="678"/>
      <c r="S7" s="678"/>
      <c r="T7" s="678"/>
      <c r="U7" s="678"/>
      <c r="V7" s="678"/>
      <c r="W7" s="679"/>
      <c r="X7" s="679"/>
      <c r="Y7" s="679"/>
      <c r="Z7" s="679"/>
    </row>
    <row r="8" spans="1:26" ht="145.19999999999999" thickTop="1" thickBot="1" x14ac:dyDescent="0.3">
      <c r="A8" s="519" t="s">
        <v>230</v>
      </c>
      <c r="B8" s="520" t="s">
        <v>655</v>
      </c>
      <c r="C8" s="520" t="s">
        <v>234</v>
      </c>
      <c r="D8" s="520" t="s">
        <v>656</v>
      </c>
      <c r="G8" s="524" t="s">
        <v>0</v>
      </c>
      <c r="H8" s="525" t="s">
        <v>657</v>
      </c>
      <c r="I8" s="525" t="s">
        <v>658</v>
      </c>
      <c r="J8" s="525" t="s">
        <v>659</v>
      </c>
      <c r="K8" s="525" t="s">
        <v>660</v>
      </c>
      <c r="L8" s="525" t="s">
        <v>661</v>
      </c>
      <c r="M8" s="525" t="s">
        <v>662</v>
      </c>
      <c r="N8" s="688" t="s">
        <v>663</v>
      </c>
      <c r="O8" s="689"/>
      <c r="P8" s="690" t="s">
        <v>664</v>
      </c>
      <c r="Q8" s="691"/>
      <c r="R8" s="692"/>
      <c r="S8" s="690" t="s">
        <v>665</v>
      </c>
      <c r="T8" s="691"/>
      <c r="U8" s="691"/>
      <c r="V8" s="691"/>
      <c r="W8" s="692"/>
      <c r="X8" s="688" t="s">
        <v>6</v>
      </c>
      <c r="Y8" s="693"/>
      <c r="Z8" s="518"/>
    </row>
    <row r="9" spans="1:26" ht="159" thickBot="1" x14ac:dyDescent="0.3">
      <c r="A9" s="519" t="s">
        <v>243</v>
      </c>
      <c r="B9" s="520" t="s">
        <v>666</v>
      </c>
      <c r="C9" s="520" t="s">
        <v>247</v>
      </c>
      <c r="D9" s="520" t="s">
        <v>667</v>
      </c>
      <c r="G9" s="526" t="s">
        <v>668</v>
      </c>
      <c r="H9" s="527" t="s">
        <v>669</v>
      </c>
      <c r="I9" s="527" t="s">
        <v>670</v>
      </c>
      <c r="J9" s="527" t="s">
        <v>671</v>
      </c>
      <c r="K9" s="527" t="s">
        <v>672</v>
      </c>
      <c r="L9" s="527" t="s">
        <v>673</v>
      </c>
      <c r="M9" s="527" t="s">
        <v>674</v>
      </c>
      <c r="N9" s="694" t="s">
        <v>675</v>
      </c>
      <c r="O9" s="695"/>
      <c r="P9" s="694" t="s">
        <v>676</v>
      </c>
      <c r="Q9" s="696"/>
      <c r="R9" s="695"/>
      <c r="S9" s="697">
        <v>45885</v>
      </c>
      <c r="T9" s="696"/>
      <c r="U9" s="696"/>
      <c r="V9" s="696"/>
      <c r="W9" s="695"/>
      <c r="X9" s="694" t="s">
        <v>677</v>
      </c>
      <c r="Y9" s="698"/>
      <c r="Z9" s="518"/>
    </row>
    <row r="10" spans="1:26" ht="115.8" thickBot="1" x14ac:dyDescent="0.3">
      <c r="A10" s="519" t="s">
        <v>255</v>
      </c>
      <c r="B10" s="520" t="s">
        <v>678</v>
      </c>
      <c r="C10" s="520" t="s">
        <v>259</v>
      </c>
      <c r="D10" s="520" t="s">
        <v>679</v>
      </c>
      <c r="G10" s="526" t="s">
        <v>680</v>
      </c>
      <c r="H10" s="527" t="s">
        <v>681</v>
      </c>
      <c r="I10" s="527" t="s">
        <v>682</v>
      </c>
      <c r="J10" s="527" t="s">
        <v>671</v>
      </c>
      <c r="K10" s="527" t="s">
        <v>683</v>
      </c>
      <c r="L10" s="527" t="s">
        <v>684</v>
      </c>
      <c r="M10" s="527" t="s">
        <v>685</v>
      </c>
      <c r="N10" s="694" t="s">
        <v>686</v>
      </c>
      <c r="O10" s="695"/>
      <c r="P10" s="694" t="s">
        <v>687</v>
      </c>
      <c r="Q10" s="696"/>
      <c r="R10" s="695"/>
      <c r="S10" s="694" t="s">
        <v>688</v>
      </c>
      <c r="T10" s="696"/>
      <c r="U10" s="696"/>
      <c r="V10" s="696"/>
      <c r="W10" s="695"/>
      <c r="X10" s="694" t="s">
        <v>689</v>
      </c>
      <c r="Y10" s="698"/>
      <c r="Z10" s="518"/>
    </row>
    <row r="11" spans="1:26" ht="115.8" thickBot="1" x14ac:dyDescent="0.3">
      <c r="A11" s="519" t="s">
        <v>268</v>
      </c>
      <c r="B11" s="520" t="s">
        <v>690</v>
      </c>
      <c r="C11" s="520" t="s">
        <v>272</v>
      </c>
      <c r="D11" s="520" t="s">
        <v>691</v>
      </c>
      <c r="G11" s="526" t="s">
        <v>692</v>
      </c>
      <c r="H11" s="527" t="s">
        <v>693</v>
      </c>
      <c r="I11" s="527" t="s">
        <v>694</v>
      </c>
      <c r="J11" s="527" t="s">
        <v>671</v>
      </c>
      <c r="K11" s="527" t="s">
        <v>695</v>
      </c>
      <c r="L11" s="527" t="s">
        <v>696</v>
      </c>
      <c r="M11" s="527" t="s">
        <v>230</v>
      </c>
      <c r="N11" s="694" t="s">
        <v>697</v>
      </c>
      <c r="O11" s="695"/>
      <c r="P11" s="694" t="s">
        <v>698</v>
      </c>
      <c r="Q11" s="696"/>
      <c r="R11" s="695"/>
      <c r="S11" s="694" t="s">
        <v>699</v>
      </c>
      <c r="T11" s="696"/>
      <c r="U11" s="696"/>
      <c r="V11" s="696"/>
      <c r="W11" s="695"/>
      <c r="X11" s="694" t="s">
        <v>700</v>
      </c>
      <c r="Y11" s="698"/>
      <c r="Z11" s="518"/>
    </row>
    <row r="12" spans="1:26" ht="130.19999999999999" thickBot="1" x14ac:dyDescent="0.3">
      <c r="A12" s="519" t="s">
        <v>281</v>
      </c>
      <c r="B12" s="520" t="s">
        <v>701</v>
      </c>
      <c r="C12" s="520" t="s">
        <v>285</v>
      </c>
      <c r="D12" s="520" t="s">
        <v>702</v>
      </c>
      <c r="G12" s="526" t="s">
        <v>703</v>
      </c>
      <c r="H12" s="527" t="s">
        <v>704</v>
      </c>
      <c r="I12" s="527" t="s">
        <v>705</v>
      </c>
      <c r="J12" s="527" t="s">
        <v>671</v>
      </c>
      <c r="K12" s="527" t="s">
        <v>706</v>
      </c>
      <c r="L12" s="527" t="s">
        <v>696</v>
      </c>
      <c r="M12" s="527" t="s">
        <v>707</v>
      </c>
      <c r="N12" s="694" t="s">
        <v>266</v>
      </c>
      <c r="O12" s="695"/>
      <c r="P12" s="694" t="s">
        <v>708</v>
      </c>
      <c r="Q12" s="696"/>
      <c r="R12" s="695"/>
      <c r="S12" s="694" t="s">
        <v>688</v>
      </c>
      <c r="T12" s="696"/>
      <c r="U12" s="696"/>
      <c r="V12" s="696"/>
      <c r="W12" s="695"/>
      <c r="X12" s="694" t="s">
        <v>709</v>
      </c>
      <c r="Y12" s="698"/>
      <c r="Z12" s="518"/>
    </row>
    <row r="13" spans="1:26" ht="130.19999999999999" thickBot="1" x14ac:dyDescent="0.3">
      <c r="A13" s="519" t="s">
        <v>294</v>
      </c>
      <c r="B13" s="520" t="s">
        <v>710</v>
      </c>
      <c r="C13" s="520" t="s">
        <v>298</v>
      </c>
      <c r="D13" s="520" t="s">
        <v>711</v>
      </c>
      <c r="G13" s="526" t="s">
        <v>712</v>
      </c>
      <c r="H13" s="527" t="s">
        <v>713</v>
      </c>
      <c r="I13" s="527" t="s">
        <v>714</v>
      </c>
      <c r="J13" s="527" t="s">
        <v>671</v>
      </c>
      <c r="K13" s="527" t="s">
        <v>715</v>
      </c>
      <c r="L13" s="527" t="s">
        <v>696</v>
      </c>
      <c r="M13" s="527" t="s">
        <v>716</v>
      </c>
      <c r="N13" s="694" t="s">
        <v>717</v>
      </c>
      <c r="O13" s="695"/>
      <c r="P13" s="694" t="s">
        <v>718</v>
      </c>
      <c r="Q13" s="696"/>
      <c r="R13" s="695"/>
      <c r="S13" s="694" t="s">
        <v>688</v>
      </c>
      <c r="T13" s="696"/>
      <c r="U13" s="696"/>
      <c r="V13" s="696"/>
      <c r="W13" s="695"/>
      <c r="X13" s="694" t="s">
        <v>719</v>
      </c>
      <c r="Y13" s="698"/>
      <c r="Z13" s="518"/>
    </row>
    <row r="14" spans="1:26" ht="42" thickBot="1" x14ac:dyDescent="0.3">
      <c r="G14" s="526" t="s">
        <v>720</v>
      </c>
      <c r="H14" s="527" t="s">
        <v>721</v>
      </c>
      <c r="I14" s="527" t="s">
        <v>722</v>
      </c>
      <c r="J14" s="527" t="s">
        <v>723</v>
      </c>
      <c r="K14" s="527" t="s">
        <v>724</v>
      </c>
      <c r="L14" s="527" t="s">
        <v>725</v>
      </c>
      <c r="M14" s="527" t="s">
        <v>726</v>
      </c>
      <c r="N14" s="694" t="s">
        <v>727</v>
      </c>
      <c r="O14" s="695"/>
      <c r="P14" s="694" t="s">
        <v>728</v>
      </c>
      <c r="Q14" s="696"/>
      <c r="R14" s="695"/>
      <c r="S14" s="694" t="s">
        <v>729</v>
      </c>
      <c r="T14" s="696"/>
      <c r="U14" s="696"/>
      <c r="V14" s="696"/>
      <c r="W14" s="695"/>
      <c r="X14" s="694" t="s">
        <v>730</v>
      </c>
      <c r="Y14" s="698"/>
      <c r="Z14" s="518"/>
    </row>
    <row r="15" spans="1:26" ht="42" thickBot="1" x14ac:dyDescent="0.3">
      <c r="G15" s="526" t="s">
        <v>731</v>
      </c>
      <c r="H15" s="527" t="s">
        <v>732</v>
      </c>
      <c r="I15" s="527" t="s">
        <v>733</v>
      </c>
      <c r="J15" s="527" t="s">
        <v>671</v>
      </c>
      <c r="K15" s="527" t="s">
        <v>734</v>
      </c>
      <c r="L15" s="527" t="s">
        <v>696</v>
      </c>
      <c r="M15" s="527" t="s">
        <v>735</v>
      </c>
      <c r="N15" s="694" t="s">
        <v>736</v>
      </c>
      <c r="O15" s="695"/>
      <c r="P15" s="694" t="s">
        <v>737</v>
      </c>
      <c r="Q15" s="696"/>
      <c r="R15" s="695"/>
      <c r="S15" s="694" t="s">
        <v>688</v>
      </c>
      <c r="T15" s="696"/>
      <c r="U15" s="696"/>
      <c r="V15" s="696"/>
      <c r="W15" s="695"/>
      <c r="X15" s="694" t="s">
        <v>738</v>
      </c>
      <c r="Y15" s="698"/>
      <c r="Z15" s="518"/>
    </row>
    <row r="16" spans="1:26" ht="28.2" thickBot="1" x14ac:dyDescent="0.3">
      <c r="G16" s="526" t="s">
        <v>739</v>
      </c>
      <c r="H16" s="527" t="s">
        <v>740</v>
      </c>
      <c r="I16" s="527" t="s">
        <v>741</v>
      </c>
      <c r="J16" s="527" t="s">
        <v>671</v>
      </c>
      <c r="K16" s="528" t="s">
        <v>683</v>
      </c>
      <c r="L16" s="527" t="s">
        <v>684</v>
      </c>
      <c r="M16" s="527" t="s">
        <v>685</v>
      </c>
      <c r="N16" s="694" t="s">
        <v>742</v>
      </c>
      <c r="O16" s="695"/>
      <c r="P16" s="694" t="s">
        <v>743</v>
      </c>
      <c r="Q16" s="696"/>
      <c r="R16" s="695"/>
      <c r="S16" s="694" t="s">
        <v>688</v>
      </c>
      <c r="T16" s="696"/>
      <c r="U16" s="696"/>
      <c r="V16" s="696"/>
      <c r="W16" s="695"/>
      <c r="X16" s="694" t="s">
        <v>744</v>
      </c>
      <c r="Y16" s="698"/>
      <c r="Z16" s="518"/>
    </row>
    <row r="17" spans="7:26" ht="69.599999999999994" customHeight="1" thickBot="1" x14ac:dyDescent="0.3">
      <c r="G17" s="526" t="s">
        <v>745</v>
      </c>
      <c r="H17" s="527" t="s">
        <v>746</v>
      </c>
      <c r="I17" s="527" t="s">
        <v>747</v>
      </c>
      <c r="J17" s="527" t="s">
        <v>671</v>
      </c>
      <c r="K17" s="528" t="s">
        <v>748</v>
      </c>
      <c r="L17" s="527" t="s">
        <v>749</v>
      </c>
      <c r="M17" s="527" t="s">
        <v>750</v>
      </c>
      <c r="N17" s="694" t="s">
        <v>751</v>
      </c>
      <c r="O17" s="695"/>
      <c r="P17" s="694" t="s">
        <v>752</v>
      </c>
      <c r="Q17" s="696"/>
      <c r="R17" s="695"/>
      <c r="S17" s="694" t="s">
        <v>688</v>
      </c>
      <c r="T17" s="696"/>
      <c r="U17" s="696"/>
      <c r="V17" s="696"/>
      <c r="W17" s="695"/>
      <c r="X17" s="694" t="s">
        <v>753</v>
      </c>
      <c r="Y17" s="698"/>
      <c r="Z17" s="523"/>
    </row>
    <row r="18" spans="7:26" ht="25.5" customHeight="1" thickBot="1" x14ac:dyDescent="0.3">
      <c r="G18" s="526" t="s">
        <v>754</v>
      </c>
      <c r="H18" s="527" t="s">
        <v>755</v>
      </c>
      <c r="I18" s="527" t="s">
        <v>756</v>
      </c>
      <c r="J18" s="527" t="s">
        <v>671</v>
      </c>
      <c r="K18" s="528" t="s">
        <v>672</v>
      </c>
      <c r="L18" s="527" t="s">
        <v>757</v>
      </c>
      <c r="M18" s="527" t="s">
        <v>758</v>
      </c>
      <c r="N18" s="694" t="s">
        <v>759</v>
      </c>
      <c r="O18" s="695"/>
      <c r="P18" s="694" t="s">
        <v>760</v>
      </c>
      <c r="Q18" s="696"/>
      <c r="R18" s="695"/>
      <c r="S18" s="697">
        <v>45985</v>
      </c>
      <c r="T18" s="696"/>
      <c r="U18" s="696"/>
      <c r="V18" s="696"/>
      <c r="W18" s="695"/>
      <c r="X18" s="694" t="s">
        <v>761</v>
      </c>
      <c r="Y18" s="698"/>
      <c r="Z18" s="518"/>
    </row>
    <row r="19" spans="7:26" ht="90" customHeight="1" thickBot="1" x14ac:dyDescent="0.3">
      <c r="G19" s="523"/>
      <c r="H19" s="690" t="s">
        <v>762</v>
      </c>
      <c r="I19" s="692"/>
      <c r="J19" s="690" t="s">
        <v>763</v>
      </c>
      <c r="K19" s="691"/>
      <c r="L19" s="691"/>
      <c r="M19" s="699"/>
      <c r="N19" s="700" t="s">
        <v>764</v>
      </c>
      <c r="O19" s="691"/>
      <c r="P19" s="691"/>
      <c r="Q19" s="691"/>
      <c r="R19" s="691"/>
      <c r="S19" s="691"/>
      <c r="T19" s="691"/>
      <c r="U19" s="691"/>
      <c r="V19" s="691"/>
      <c r="W19" s="691"/>
      <c r="X19" s="691"/>
      <c r="Y19" s="699"/>
      <c r="Z19" s="529"/>
    </row>
    <row r="20" spans="7:26" ht="15" thickBot="1" x14ac:dyDescent="0.3">
      <c r="G20" s="701" t="s">
        <v>765</v>
      </c>
      <c r="H20" s="702"/>
      <c r="I20" s="702"/>
      <c r="J20" s="702"/>
      <c r="K20" s="702"/>
      <c r="L20" s="702"/>
      <c r="M20" s="703"/>
      <c r="N20" s="704"/>
      <c r="O20" s="705"/>
      <c r="P20" s="705"/>
      <c r="Q20" s="705"/>
      <c r="R20" s="705"/>
      <c r="S20" s="705"/>
      <c r="T20" s="705"/>
      <c r="U20" s="529"/>
      <c r="V20" s="529"/>
      <c r="W20" s="529"/>
      <c r="X20" s="529"/>
      <c r="Y20" s="529"/>
    </row>
    <row r="24" spans="7:26" ht="19.2" x14ac:dyDescent="0.25">
      <c r="G24" s="530"/>
    </row>
    <row r="25" spans="7:26" x14ac:dyDescent="0.25">
      <c r="G25" s="531"/>
    </row>
    <row r="26" spans="7:26" ht="19.2" x14ac:dyDescent="0.25">
      <c r="G26" s="532"/>
    </row>
    <row r="27" spans="7:26" ht="19.2" x14ac:dyDescent="0.25">
      <c r="G27" s="532"/>
    </row>
    <row r="28" spans="7:26" ht="19.2" x14ac:dyDescent="0.25">
      <c r="G28" s="532"/>
    </row>
    <row r="29" spans="7:26" ht="19.2" x14ac:dyDescent="0.25">
      <c r="G29" s="532"/>
    </row>
    <row r="30" spans="7:26" ht="19.2" x14ac:dyDescent="0.25">
      <c r="G30" s="532"/>
    </row>
    <row r="31" spans="7:26" ht="19.2" x14ac:dyDescent="0.25">
      <c r="G31" s="532"/>
    </row>
    <row r="32" spans="7:26" ht="19.2" x14ac:dyDescent="0.25">
      <c r="G32" s="532"/>
    </row>
    <row r="33" spans="7:7" ht="19.2" x14ac:dyDescent="0.25">
      <c r="G33" s="532"/>
    </row>
    <row r="34" spans="7:7" ht="19.2" x14ac:dyDescent="0.25">
      <c r="G34" s="532"/>
    </row>
    <row r="35" spans="7:7" ht="19.2" x14ac:dyDescent="0.25">
      <c r="G35" s="532"/>
    </row>
    <row r="36" spans="7:7" ht="19.2" x14ac:dyDescent="0.25">
      <c r="G36" s="532"/>
    </row>
    <row r="38" spans="7:7" ht="19.2" x14ac:dyDescent="0.25">
      <c r="G38" s="530"/>
    </row>
    <row r="39" spans="7:7" x14ac:dyDescent="0.25">
      <c r="G39" s="531"/>
    </row>
    <row r="40" spans="7:7" ht="19.2" x14ac:dyDescent="0.25">
      <c r="G40" s="532"/>
    </row>
    <row r="41" spans="7:7" ht="19.2" x14ac:dyDescent="0.25">
      <c r="G41" s="532"/>
    </row>
    <row r="42" spans="7:7" ht="19.2" x14ac:dyDescent="0.25">
      <c r="G42" s="532"/>
    </row>
    <row r="43" spans="7:7" ht="19.2" x14ac:dyDescent="0.25">
      <c r="G43" s="532"/>
    </row>
    <row r="44" spans="7:7" ht="19.2" x14ac:dyDescent="0.25">
      <c r="G44" s="532"/>
    </row>
    <row r="45" spans="7:7" ht="19.2" x14ac:dyDescent="0.25">
      <c r="G45" s="532"/>
    </row>
    <row r="46" spans="7:7" ht="19.2" x14ac:dyDescent="0.25">
      <c r="G46" s="532"/>
    </row>
    <row r="47" spans="7:7" ht="19.2" x14ac:dyDescent="0.25">
      <c r="G47" s="532"/>
    </row>
    <row r="48" spans="7:7" ht="19.2" x14ac:dyDescent="0.25">
      <c r="G48" s="532"/>
    </row>
    <row r="49" spans="7:7" ht="19.2" x14ac:dyDescent="0.25">
      <c r="G49" s="532"/>
    </row>
    <row r="50" spans="7:7" ht="19.2" x14ac:dyDescent="0.25">
      <c r="G50" s="532"/>
    </row>
    <row r="52" spans="7:7" ht="19.2" x14ac:dyDescent="0.25">
      <c r="G52" s="530"/>
    </row>
    <row r="53" spans="7:7" x14ac:dyDescent="0.25">
      <c r="G53" s="531"/>
    </row>
    <row r="54" spans="7:7" ht="19.2" x14ac:dyDescent="0.25">
      <c r="G54" s="532"/>
    </row>
    <row r="55" spans="7:7" ht="19.2" x14ac:dyDescent="0.25">
      <c r="G55" s="532"/>
    </row>
    <row r="56" spans="7:7" ht="19.2" x14ac:dyDescent="0.25">
      <c r="G56" s="532"/>
    </row>
    <row r="57" spans="7:7" ht="19.2" x14ac:dyDescent="0.25">
      <c r="G57" s="532"/>
    </row>
    <row r="58" spans="7:7" ht="19.2" x14ac:dyDescent="0.25">
      <c r="G58" s="532"/>
    </row>
    <row r="59" spans="7:7" ht="19.2" x14ac:dyDescent="0.25">
      <c r="G59" s="532"/>
    </row>
    <row r="60" spans="7:7" ht="19.2" x14ac:dyDescent="0.25">
      <c r="G60" s="532"/>
    </row>
    <row r="61" spans="7:7" ht="19.2" x14ac:dyDescent="0.25">
      <c r="G61" s="532"/>
    </row>
    <row r="62" spans="7:7" ht="19.2" x14ac:dyDescent="0.25">
      <c r="G62" s="532"/>
    </row>
    <row r="63" spans="7:7" ht="19.2" x14ac:dyDescent="0.25">
      <c r="G63" s="532"/>
    </row>
    <row r="64" spans="7:7" ht="19.2" x14ac:dyDescent="0.25">
      <c r="G64" s="532"/>
    </row>
    <row r="66" spans="7:7" ht="19.2" x14ac:dyDescent="0.25">
      <c r="G66" s="530"/>
    </row>
    <row r="67" spans="7:7" x14ac:dyDescent="0.25">
      <c r="G67" s="531"/>
    </row>
    <row r="68" spans="7:7" ht="19.2" x14ac:dyDescent="0.25">
      <c r="G68" s="532"/>
    </row>
    <row r="69" spans="7:7" ht="19.2" x14ac:dyDescent="0.25">
      <c r="G69" s="532"/>
    </row>
    <row r="70" spans="7:7" ht="19.2" x14ac:dyDescent="0.25">
      <c r="G70" s="532"/>
    </row>
    <row r="71" spans="7:7" ht="19.2" x14ac:dyDescent="0.25">
      <c r="G71" s="532"/>
    </row>
    <row r="72" spans="7:7" ht="19.2" x14ac:dyDescent="0.25">
      <c r="G72" s="532"/>
    </row>
    <row r="73" spans="7:7" ht="19.2" x14ac:dyDescent="0.25">
      <c r="G73" s="532"/>
    </row>
    <row r="74" spans="7:7" ht="19.2" x14ac:dyDescent="0.25">
      <c r="G74" s="532"/>
    </row>
    <row r="75" spans="7:7" ht="19.2" x14ac:dyDescent="0.25">
      <c r="G75" s="532"/>
    </row>
    <row r="76" spans="7:7" ht="19.2" x14ac:dyDescent="0.25">
      <c r="G76" s="532"/>
    </row>
    <row r="77" spans="7:7" ht="19.2" x14ac:dyDescent="0.25">
      <c r="G77" s="532"/>
    </row>
    <row r="78" spans="7:7" ht="19.2" x14ac:dyDescent="0.25">
      <c r="G78" s="532"/>
    </row>
  </sheetData>
  <mergeCells count="59">
    <mergeCell ref="G20:M20"/>
    <mergeCell ref="N20:Q20"/>
    <mergeCell ref="R20:T20"/>
    <mergeCell ref="N18:O18"/>
    <mergeCell ref="P18:R18"/>
    <mergeCell ref="S18:W18"/>
    <mergeCell ref="X18:Y18"/>
    <mergeCell ref="H19:I19"/>
    <mergeCell ref="J19:M19"/>
    <mergeCell ref="N19:Y19"/>
    <mergeCell ref="N16:O16"/>
    <mergeCell ref="P16:R16"/>
    <mergeCell ref="S16:W16"/>
    <mergeCell ref="X16:Y16"/>
    <mergeCell ref="N17:O17"/>
    <mergeCell ref="P17:R17"/>
    <mergeCell ref="S17:W17"/>
    <mergeCell ref="X17:Y17"/>
    <mergeCell ref="N14:O14"/>
    <mergeCell ref="P14:R14"/>
    <mergeCell ref="S14:W14"/>
    <mergeCell ref="X14:Y14"/>
    <mergeCell ref="N15:O15"/>
    <mergeCell ref="P15:R15"/>
    <mergeCell ref="S15:W15"/>
    <mergeCell ref="X15:Y15"/>
    <mergeCell ref="N12:O12"/>
    <mergeCell ref="P12:R12"/>
    <mergeCell ref="S12:W12"/>
    <mergeCell ref="X12:Y12"/>
    <mergeCell ref="N13:O13"/>
    <mergeCell ref="P13:R13"/>
    <mergeCell ref="S13:W13"/>
    <mergeCell ref="X13:Y13"/>
    <mergeCell ref="N10:O10"/>
    <mergeCell ref="P10:R10"/>
    <mergeCell ref="S10:W10"/>
    <mergeCell ref="X10:Y10"/>
    <mergeCell ref="N11:O11"/>
    <mergeCell ref="P11:R11"/>
    <mergeCell ref="S11:W11"/>
    <mergeCell ref="X11:Y11"/>
    <mergeCell ref="N8:O8"/>
    <mergeCell ref="P8:R8"/>
    <mergeCell ref="S8:W8"/>
    <mergeCell ref="X8:Y8"/>
    <mergeCell ref="N9:O9"/>
    <mergeCell ref="P9:R9"/>
    <mergeCell ref="S9:W9"/>
    <mergeCell ref="X9:Y9"/>
    <mergeCell ref="N7:P7"/>
    <mergeCell ref="Q7:S7"/>
    <mergeCell ref="T7:V7"/>
    <mergeCell ref="W7:Z7"/>
    <mergeCell ref="G5:X5"/>
    <mergeCell ref="Y5:Z5"/>
    <mergeCell ref="G6:L6"/>
    <mergeCell ref="O6:X6"/>
    <mergeCell ref="Y6:Z6"/>
  </mergeCell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2E9AE-F244-4323-B21D-3E33E9F35325}">
  <dimension ref="A1"/>
  <sheetViews>
    <sheetView showGridLines="0" workbookViewId="0">
      <selection activeCell="N63" sqref="N63"/>
    </sheetView>
  </sheetViews>
  <sheetFormatPr defaultRowHeight="13.2" x14ac:dyDescent="0.25"/>
  <sheetData/>
  <pageMargins left="0.511811024" right="0.511811024" top="0.78740157499999996" bottom="0.78740157499999996" header="0.31496062000000002" footer="0.31496062000000002"/>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5F8C-5744-4C72-8065-E7002673D9F0}">
  <dimension ref="A1"/>
  <sheetViews>
    <sheetView showGridLines="0" topLeftCell="A6" workbookViewId="0">
      <selection activeCell="P23" sqref="P23"/>
    </sheetView>
  </sheetViews>
  <sheetFormatPr defaultRowHeight="13.2" x14ac:dyDescent="0.25"/>
  <sheetData/>
  <pageMargins left="0.511811024" right="0.511811024" top="0.78740157499999996" bottom="0.78740157499999996" header="0.31496062000000002" footer="0.31496062000000002"/>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1904-CD5F-476E-9BF9-4CB08BC1CD59}">
  <dimension ref="B6:AS23"/>
  <sheetViews>
    <sheetView showGridLines="0" topLeftCell="A5" zoomScale="95" workbookViewId="0">
      <selection activeCell="O6" sqref="O6"/>
    </sheetView>
  </sheetViews>
  <sheetFormatPr defaultColWidth="11.44140625" defaultRowHeight="13.2" x14ac:dyDescent="0.25"/>
  <cols>
    <col min="1" max="1" width="3.33203125" style="533" customWidth="1"/>
    <col min="2" max="2" width="4.33203125" style="533" customWidth="1"/>
    <col min="3" max="4" width="11.44140625" style="533" customWidth="1"/>
    <col min="5" max="5" width="1" style="533" customWidth="1"/>
    <col min="6" max="6" width="4.6640625" style="533" customWidth="1"/>
    <col min="7" max="31" width="3.33203125" style="533" customWidth="1"/>
    <col min="32" max="256" width="11.44140625" style="533"/>
    <col min="257" max="257" width="3.33203125" style="533" customWidth="1"/>
    <col min="258" max="258" width="4.33203125" style="533" customWidth="1"/>
    <col min="259" max="260" width="11.44140625" style="533"/>
    <col min="261" max="261" width="1" style="533" customWidth="1"/>
    <col min="262" max="262" width="2.33203125" style="533" customWidth="1"/>
    <col min="263" max="287" width="3.33203125" style="533" customWidth="1"/>
    <col min="288" max="512" width="11.44140625" style="533"/>
    <col min="513" max="513" width="3.33203125" style="533" customWidth="1"/>
    <col min="514" max="514" width="4.33203125" style="533" customWidth="1"/>
    <col min="515" max="516" width="11.44140625" style="533"/>
    <col min="517" max="517" width="1" style="533" customWidth="1"/>
    <col min="518" max="518" width="2.33203125" style="533" customWidth="1"/>
    <col min="519" max="543" width="3.33203125" style="533" customWidth="1"/>
    <col min="544" max="768" width="11.44140625" style="533"/>
    <col min="769" max="769" width="3.33203125" style="533" customWidth="1"/>
    <col min="770" max="770" width="4.33203125" style="533" customWidth="1"/>
    <col min="771" max="772" width="11.44140625" style="533"/>
    <col min="773" max="773" width="1" style="533" customWidth="1"/>
    <col min="774" max="774" width="2.33203125" style="533" customWidth="1"/>
    <col min="775" max="799" width="3.33203125" style="533" customWidth="1"/>
    <col min="800" max="1024" width="11.44140625" style="533"/>
    <col min="1025" max="1025" width="3.33203125" style="533" customWidth="1"/>
    <col min="1026" max="1026" width="4.33203125" style="533" customWidth="1"/>
    <col min="1027" max="1028" width="11.44140625" style="533"/>
    <col min="1029" max="1029" width="1" style="533" customWidth="1"/>
    <col min="1030" max="1030" width="2.33203125" style="533" customWidth="1"/>
    <col min="1031" max="1055" width="3.33203125" style="533" customWidth="1"/>
    <col min="1056" max="1280" width="11.44140625" style="533"/>
    <col min="1281" max="1281" width="3.33203125" style="533" customWidth="1"/>
    <col min="1282" max="1282" width="4.33203125" style="533" customWidth="1"/>
    <col min="1283" max="1284" width="11.44140625" style="533"/>
    <col min="1285" max="1285" width="1" style="533" customWidth="1"/>
    <col min="1286" max="1286" width="2.33203125" style="533" customWidth="1"/>
    <col min="1287" max="1311" width="3.33203125" style="533" customWidth="1"/>
    <col min="1312" max="1536" width="11.44140625" style="533"/>
    <col min="1537" max="1537" width="3.33203125" style="533" customWidth="1"/>
    <col min="1538" max="1538" width="4.33203125" style="533" customWidth="1"/>
    <col min="1539" max="1540" width="11.44140625" style="533"/>
    <col min="1541" max="1541" width="1" style="533" customWidth="1"/>
    <col min="1542" max="1542" width="2.33203125" style="533" customWidth="1"/>
    <col min="1543" max="1567" width="3.33203125" style="533" customWidth="1"/>
    <col min="1568" max="1792" width="11.44140625" style="533"/>
    <col min="1793" max="1793" width="3.33203125" style="533" customWidth="1"/>
    <col min="1794" max="1794" width="4.33203125" style="533" customWidth="1"/>
    <col min="1795" max="1796" width="11.44140625" style="533"/>
    <col min="1797" max="1797" width="1" style="533" customWidth="1"/>
    <col min="1798" max="1798" width="2.33203125" style="533" customWidth="1"/>
    <col min="1799" max="1823" width="3.33203125" style="533" customWidth="1"/>
    <col min="1824" max="2048" width="11.44140625" style="533"/>
    <col min="2049" max="2049" width="3.33203125" style="533" customWidth="1"/>
    <col min="2050" max="2050" width="4.33203125" style="533" customWidth="1"/>
    <col min="2051" max="2052" width="11.44140625" style="533"/>
    <col min="2053" max="2053" width="1" style="533" customWidth="1"/>
    <col min="2054" max="2054" width="2.33203125" style="533" customWidth="1"/>
    <col min="2055" max="2079" width="3.33203125" style="533" customWidth="1"/>
    <col min="2080" max="2304" width="11.44140625" style="533"/>
    <col min="2305" max="2305" width="3.33203125" style="533" customWidth="1"/>
    <col min="2306" max="2306" width="4.33203125" style="533" customWidth="1"/>
    <col min="2307" max="2308" width="11.44140625" style="533"/>
    <col min="2309" max="2309" width="1" style="533" customWidth="1"/>
    <col min="2310" max="2310" width="2.33203125" style="533" customWidth="1"/>
    <col min="2311" max="2335" width="3.33203125" style="533" customWidth="1"/>
    <col min="2336" max="2560" width="11.44140625" style="533"/>
    <col min="2561" max="2561" width="3.33203125" style="533" customWidth="1"/>
    <col min="2562" max="2562" width="4.33203125" style="533" customWidth="1"/>
    <col min="2563" max="2564" width="11.44140625" style="533"/>
    <col min="2565" max="2565" width="1" style="533" customWidth="1"/>
    <col min="2566" max="2566" width="2.33203125" style="533" customWidth="1"/>
    <col min="2567" max="2591" width="3.33203125" style="533" customWidth="1"/>
    <col min="2592" max="2816" width="11.44140625" style="533"/>
    <col min="2817" max="2817" width="3.33203125" style="533" customWidth="1"/>
    <col min="2818" max="2818" width="4.33203125" style="533" customWidth="1"/>
    <col min="2819" max="2820" width="11.44140625" style="533"/>
    <col min="2821" max="2821" width="1" style="533" customWidth="1"/>
    <col min="2822" max="2822" width="2.33203125" style="533" customWidth="1"/>
    <col min="2823" max="2847" width="3.33203125" style="533" customWidth="1"/>
    <col min="2848" max="3072" width="11.44140625" style="533"/>
    <col min="3073" max="3073" width="3.33203125" style="533" customWidth="1"/>
    <col min="3074" max="3074" width="4.33203125" style="533" customWidth="1"/>
    <col min="3075" max="3076" width="11.44140625" style="533"/>
    <col min="3077" max="3077" width="1" style="533" customWidth="1"/>
    <col min="3078" max="3078" width="2.33203125" style="533" customWidth="1"/>
    <col min="3079" max="3103" width="3.33203125" style="533" customWidth="1"/>
    <col min="3104" max="3328" width="11.44140625" style="533"/>
    <col min="3329" max="3329" width="3.33203125" style="533" customWidth="1"/>
    <col min="3330" max="3330" width="4.33203125" style="533" customWidth="1"/>
    <col min="3331" max="3332" width="11.44140625" style="533"/>
    <col min="3333" max="3333" width="1" style="533" customWidth="1"/>
    <col min="3334" max="3334" width="2.33203125" style="533" customWidth="1"/>
    <col min="3335" max="3359" width="3.33203125" style="533" customWidth="1"/>
    <col min="3360" max="3584" width="11.44140625" style="533"/>
    <col min="3585" max="3585" width="3.33203125" style="533" customWidth="1"/>
    <col min="3586" max="3586" width="4.33203125" style="533" customWidth="1"/>
    <col min="3587" max="3588" width="11.44140625" style="533"/>
    <col min="3589" max="3589" width="1" style="533" customWidth="1"/>
    <col min="3590" max="3590" width="2.33203125" style="533" customWidth="1"/>
    <col min="3591" max="3615" width="3.33203125" style="533" customWidth="1"/>
    <col min="3616" max="3840" width="11.44140625" style="533"/>
    <col min="3841" max="3841" width="3.33203125" style="533" customWidth="1"/>
    <col min="3842" max="3842" width="4.33203125" style="533" customWidth="1"/>
    <col min="3843" max="3844" width="11.44140625" style="533"/>
    <col min="3845" max="3845" width="1" style="533" customWidth="1"/>
    <col min="3846" max="3846" width="2.33203125" style="533" customWidth="1"/>
    <col min="3847" max="3871" width="3.33203125" style="533" customWidth="1"/>
    <col min="3872" max="4096" width="11.44140625" style="533"/>
    <col min="4097" max="4097" width="3.33203125" style="533" customWidth="1"/>
    <col min="4098" max="4098" width="4.33203125" style="533" customWidth="1"/>
    <col min="4099" max="4100" width="11.44140625" style="533"/>
    <col min="4101" max="4101" width="1" style="533" customWidth="1"/>
    <col min="4102" max="4102" width="2.33203125" style="533" customWidth="1"/>
    <col min="4103" max="4127" width="3.33203125" style="533" customWidth="1"/>
    <col min="4128" max="4352" width="11.44140625" style="533"/>
    <col min="4353" max="4353" width="3.33203125" style="533" customWidth="1"/>
    <col min="4354" max="4354" width="4.33203125" style="533" customWidth="1"/>
    <col min="4355" max="4356" width="11.44140625" style="533"/>
    <col min="4357" max="4357" width="1" style="533" customWidth="1"/>
    <col min="4358" max="4358" width="2.33203125" style="533" customWidth="1"/>
    <col min="4359" max="4383" width="3.33203125" style="533" customWidth="1"/>
    <col min="4384" max="4608" width="11.44140625" style="533"/>
    <col min="4609" max="4609" width="3.33203125" style="533" customWidth="1"/>
    <col min="4610" max="4610" width="4.33203125" style="533" customWidth="1"/>
    <col min="4611" max="4612" width="11.44140625" style="533"/>
    <col min="4613" max="4613" width="1" style="533" customWidth="1"/>
    <col min="4614" max="4614" width="2.33203125" style="533" customWidth="1"/>
    <col min="4615" max="4639" width="3.33203125" style="533" customWidth="1"/>
    <col min="4640" max="4864" width="11.44140625" style="533"/>
    <col min="4865" max="4865" width="3.33203125" style="533" customWidth="1"/>
    <col min="4866" max="4866" width="4.33203125" style="533" customWidth="1"/>
    <col min="4867" max="4868" width="11.44140625" style="533"/>
    <col min="4869" max="4869" width="1" style="533" customWidth="1"/>
    <col min="4870" max="4870" width="2.33203125" style="533" customWidth="1"/>
    <col min="4871" max="4895" width="3.33203125" style="533" customWidth="1"/>
    <col min="4896" max="5120" width="11.44140625" style="533"/>
    <col min="5121" max="5121" width="3.33203125" style="533" customWidth="1"/>
    <col min="5122" max="5122" width="4.33203125" style="533" customWidth="1"/>
    <col min="5123" max="5124" width="11.44140625" style="533"/>
    <col min="5125" max="5125" width="1" style="533" customWidth="1"/>
    <col min="5126" max="5126" width="2.33203125" style="533" customWidth="1"/>
    <col min="5127" max="5151" width="3.33203125" style="533" customWidth="1"/>
    <col min="5152" max="5376" width="11.44140625" style="533"/>
    <col min="5377" max="5377" width="3.33203125" style="533" customWidth="1"/>
    <col min="5378" max="5378" width="4.33203125" style="533" customWidth="1"/>
    <col min="5379" max="5380" width="11.44140625" style="533"/>
    <col min="5381" max="5381" width="1" style="533" customWidth="1"/>
    <col min="5382" max="5382" width="2.33203125" style="533" customWidth="1"/>
    <col min="5383" max="5407" width="3.33203125" style="533" customWidth="1"/>
    <col min="5408" max="5632" width="11.44140625" style="533"/>
    <col min="5633" max="5633" width="3.33203125" style="533" customWidth="1"/>
    <col min="5634" max="5634" width="4.33203125" style="533" customWidth="1"/>
    <col min="5635" max="5636" width="11.44140625" style="533"/>
    <col min="5637" max="5637" width="1" style="533" customWidth="1"/>
    <col min="5638" max="5638" width="2.33203125" style="533" customWidth="1"/>
    <col min="5639" max="5663" width="3.33203125" style="533" customWidth="1"/>
    <col min="5664" max="5888" width="11.44140625" style="533"/>
    <col min="5889" max="5889" width="3.33203125" style="533" customWidth="1"/>
    <col min="5890" max="5890" width="4.33203125" style="533" customWidth="1"/>
    <col min="5891" max="5892" width="11.44140625" style="533"/>
    <col min="5893" max="5893" width="1" style="533" customWidth="1"/>
    <col min="5894" max="5894" width="2.33203125" style="533" customWidth="1"/>
    <col min="5895" max="5919" width="3.33203125" style="533" customWidth="1"/>
    <col min="5920" max="6144" width="11.44140625" style="533"/>
    <col min="6145" max="6145" width="3.33203125" style="533" customWidth="1"/>
    <col min="6146" max="6146" width="4.33203125" style="533" customWidth="1"/>
    <col min="6147" max="6148" width="11.44140625" style="533"/>
    <col min="6149" max="6149" width="1" style="533" customWidth="1"/>
    <col min="6150" max="6150" width="2.33203125" style="533" customWidth="1"/>
    <col min="6151" max="6175" width="3.33203125" style="533" customWidth="1"/>
    <col min="6176" max="6400" width="11.44140625" style="533"/>
    <col min="6401" max="6401" width="3.33203125" style="533" customWidth="1"/>
    <col min="6402" max="6402" width="4.33203125" style="533" customWidth="1"/>
    <col min="6403" max="6404" width="11.44140625" style="533"/>
    <col min="6405" max="6405" width="1" style="533" customWidth="1"/>
    <col min="6406" max="6406" width="2.33203125" style="533" customWidth="1"/>
    <col min="6407" max="6431" width="3.33203125" style="533" customWidth="1"/>
    <col min="6432" max="6656" width="11.44140625" style="533"/>
    <col min="6657" max="6657" width="3.33203125" style="533" customWidth="1"/>
    <col min="6658" max="6658" width="4.33203125" style="533" customWidth="1"/>
    <col min="6659" max="6660" width="11.44140625" style="533"/>
    <col min="6661" max="6661" width="1" style="533" customWidth="1"/>
    <col min="6662" max="6662" width="2.33203125" style="533" customWidth="1"/>
    <col min="6663" max="6687" width="3.33203125" style="533" customWidth="1"/>
    <col min="6688" max="6912" width="11.44140625" style="533"/>
    <col min="6913" max="6913" width="3.33203125" style="533" customWidth="1"/>
    <col min="6914" max="6914" width="4.33203125" style="533" customWidth="1"/>
    <col min="6915" max="6916" width="11.44140625" style="533"/>
    <col min="6917" max="6917" width="1" style="533" customWidth="1"/>
    <col min="6918" max="6918" width="2.33203125" style="533" customWidth="1"/>
    <col min="6919" max="6943" width="3.33203125" style="533" customWidth="1"/>
    <col min="6944" max="7168" width="11.44140625" style="533"/>
    <col min="7169" max="7169" width="3.33203125" style="533" customWidth="1"/>
    <col min="7170" max="7170" width="4.33203125" style="533" customWidth="1"/>
    <col min="7171" max="7172" width="11.44140625" style="533"/>
    <col min="7173" max="7173" width="1" style="533" customWidth="1"/>
    <col min="7174" max="7174" width="2.33203125" style="533" customWidth="1"/>
    <col min="7175" max="7199" width="3.33203125" style="533" customWidth="1"/>
    <col min="7200" max="7424" width="11.44140625" style="533"/>
    <col min="7425" max="7425" width="3.33203125" style="533" customWidth="1"/>
    <col min="7426" max="7426" width="4.33203125" style="533" customWidth="1"/>
    <col min="7427" max="7428" width="11.44140625" style="533"/>
    <col min="7429" max="7429" width="1" style="533" customWidth="1"/>
    <col min="7430" max="7430" width="2.33203125" style="533" customWidth="1"/>
    <col min="7431" max="7455" width="3.33203125" style="533" customWidth="1"/>
    <col min="7456" max="7680" width="11.44140625" style="533"/>
    <col min="7681" max="7681" width="3.33203125" style="533" customWidth="1"/>
    <col min="7682" max="7682" width="4.33203125" style="533" customWidth="1"/>
    <col min="7683" max="7684" width="11.44140625" style="533"/>
    <col min="7685" max="7685" width="1" style="533" customWidth="1"/>
    <col min="7686" max="7686" width="2.33203125" style="533" customWidth="1"/>
    <col min="7687" max="7711" width="3.33203125" style="533" customWidth="1"/>
    <col min="7712" max="7936" width="11.44140625" style="533"/>
    <col min="7937" max="7937" width="3.33203125" style="533" customWidth="1"/>
    <col min="7938" max="7938" width="4.33203125" style="533" customWidth="1"/>
    <col min="7939" max="7940" width="11.44140625" style="533"/>
    <col min="7941" max="7941" width="1" style="533" customWidth="1"/>
    <col min="7942" max="7942" width="2.33203125" style="533" customWidth="1"/>
    <col min="7943" max="7967" width="3.33203125" style="533" customWidth="1"/>
    <col min="7968" max="8192" width="11.44140625" style="533"/>
    <col min="8193" max="8193" width="3.33203125" style="533" customWidth="1"/>
    <col min="8194" max="8194" width="4.33203125" style="533" customWidth="1"/>
    <col min="8195" max="8196" width="11.44140625" style="533"/>
    <col min="8197" max="8197" width="1" style="533" customWidth="1"/>
    <col min="8198" max="8198" width="2.33203125" style="533" customWidth="1"/>
    <col min="8199" max="8223" width="3.33203125" style="533" customWidth="1"/>
    <col min="8224" max="8448" width="11.44140625" style="533"/>
    <col min="8449" max="8449" width="3.33203125" style="533" customWidth="1"/>
    <col min="8450" max="8450" width="4.33203125" style="533" customWidth="1"/>
    <col min="8451" max="8452" width="11.44140625" style="533"/>
    <col min="8453" max="8453" width="1" style="533" customWidth="1"/>
    <col min="8454" max="8454" width="2.33203125" style="533" customWidth="1"/>
    <col min="8455" max="8479" width="3.33203125" style="533" customWidth="1"/>
    <col min="8480" max="8704" width="11.44140625" style="533"/>
    <col min="8705" max="8705" width="3.33203125" style="533" customWidth="1"/>
    <col min="8706" max="8706" width="4.33203125" style="533" customWidth="1"/>
    <col min="8707" max="8708" width="11.44140625" style="533"/>
    <col min="8709" max="8709" width="1" style="533" customWidth="1"/>
    <col min="8710" max="8710" width="2.33203125" style="533" customWidth="1"/>
    <col min="8711" max="8735" width="3.33203125" style="533" customWidth="1"/>
    <col min="8736" max="8960" width="11.44140625" style="533"/>
    <col min="8961" max="8961" width="3.33203125" style="533" customWidth="1"/>
    <col min="8962" max="8962" width="4.33203125" style="533" customWidth="1"/>
    <col min="8963" max="8964" width="11.44140625" style="533"/>
    <col min="8965" max="8965" width="1" style="533" customWidth="1"/>
    <col min="8966" max="8966" width="2.33203125" style="533" customWidth="1"/>
    <col min="8967" max="8991" width="3.33203125" style="533" customWidth="1"/>
    <col min="8992" max="9216" width="11.44140625" style="533"/>
    <col min="9217" max="9217" width="3.33203125" style="533" customWidth="1"/>
    <col min="9218" max="9218" width="4.33203125" style="533" customWidth="1"/>
    <col min="9219" max="9220" width="11.44140625" style="533"/>
    <col min="9221" max="9221" width="1" style="533" customWidth="1"/>
    <col min="9222" max="9222" width="2.33203125" style="533" customWidth="1"/>
    <col min="9223" max="9247" width="3.33203125" style="533" customWidth="1"/>
    <col min="9248" max="9472" width="11.44140625" style="533"/>
    <col min="9473" max="9473" width="3.33203125" style="533" customWidth="1"/>
    <col min="9474" max="9474" width="4.33203125" style="533" customWidth="1"/>
    <col min="9475" max="9476" width="11.44140625" style="533"/>
    <col min="9477" max="9477" width="1" style="533" customWidth="1"/>
    <col min="9478" max="9478" width="2.33203125" style="533" customWidth="1"/>
    <col min="9479" max="9503" width="3.33203125" style="533" customWidth="1"/>
    <col min="9504" max="9728" width="11.44140625" style="533"/>
    <col min="9729" max="9729" width="3.33203125" style="533" customWidth="1"/>
    <col min="9730" max="9730" width="4.33203125" style="533" customWidth="1"/>
    <col min="9731" max="9732" width="11.44140625" style="533"/>
    <col min="9733" max="9733" width="1" style="533" customWidth="1"/>
    <col min="9734" max="9734" width="2.33203125" style="533" customWidth="1"/>
    <col min="9735" max="9759" width="3.33203125" style="533" customWidth="1"/>
    <col min="9760" max="9984" width="11.44140625" style="533"/>
    <col min="9985" max="9985" width="3.33203125" style="533" customWidth="1"/>
    <col min="9986" max="9986" width="4.33203125" style="533" customWidth="1"/>
    <col min="9987" max="9988" width="11.44140625" style="533"/>
    <col min="9989" max="9989" width="1" style="533" customWidth="1"/>
    <col min="9990" max="9990" width="2.33203125" style="533" customWidth="1"/>
    <col min="9991" max="10015" width="3.33203125" style="533" customWidth="1"/>
    <col min="10016" max="10240" width="11.44140625" style="533"/>
    <col min="10241" max="10241" width="3.33203125" style="533" customWidth="1"/>
    <col min="10242" max="10242" width="4.33203125" style="533" customWidth="1"/>
    <col min="10243" max="10244" width="11.44140625" style="533"/>
    <col min="10245" max="10245" width="1" style="533" customWidth="1"/>
    <col min="10246" max="10246" width="2.33203125" style="533" customWidth="1"/>
    <col min="10247" max="10271" width="3.33203125" style="533" customWidth="1"/>
    <col min="10272" max="10496" width="11.44140625" style="533"/>
    <col min="10497" max="10497" width="3.33203125" style="533" customWidth="1"/>
    <col min="10498" max="10498" width="4.33203125" style="533" customWidth="1"/>
    <col min="10499" max="10500" width="11.44140625" style="533"/>
    <col min="10501" max="10501" width="1" style="533" customWidth="1"/>
    <col min="10502" max="10502" width="2.33203125" style="533" customWidth="1"/>
    <col min="10503" max="10527" width="3.33203125" style="533" customWidth="1"/>
    <col min="10528" max="10752" width="11.44140625" style="533"/>
    <col min="10753" max="10753" width="3.33203125" style="533" customWidth="1"/>
    <col min="10754" max="10754" width="4.33203125" style="533" customWidth="1"/>
    <col min="10755" max="10756" width="11.44140625" style="533"/>
    <col min="10757" max="10757" width="1" style="533" customWidth="1"/>
    <col min="10758" max="10758" width="2.33203125" style="533" customWidth="1"/>
    <col min="10759" max="10783" width="3.33203125" style="533" customWidth="1"/>
    <col min="10784" max="11008" width="11.44140625" style="533"/>
    <col min="11009" max="11009" width="3.33203125" style="533" customWidth="1"/>
    <col min="11010" max="11010" width="4.33203125" style="533" customWidth="1"/>
    <col min="11011" max="11012" width="11.44140625" style="533"/>
    <col min="11013" max="11013" width="1" style="533" customWidth="1"/>
    <col min="11014" max="11014" width="2.33203125" style="533" customWidth="1"/>
    <col min="11015" max="11039" width="3.33203125" style="533" customWidth="1"/>
    <col min="11040" max="11264" width="11.44140625" style="533"/>
    <col min="11265" max="11265" width="3.33203125" style="533" customWidth="1"/>
    <col min="11266" max="11266" width="4.33203125" style="533" customWidth="1"/>
    <col min="11267" max="11268" width="11.44140625" style="533"/>
    <col min="11269" max="11269" width="1" style="533" customWidth="1"/>
    <col min="11270" max="11270" width="2.33203125" style="533" customWidth="1"/>
    <col min="11271" max="11295" width="3.33203125" style="533" customWidth="1"/>
    <col min="11296" max="11520" width="11.44140625" style="533"/>
    <col min="11521" max="11521" width="3.33203125" style="533" customWidth="1"/>
    <col min="11522" max="11522" width="4.33203125" style="533" customWidth="1"/>
    <col min="11523" max="11524" width="11.44140625" style="533"/>
    <col min="11525" max="11525" width="1" style="533" customWidth="1"/>
    <col min="11526" max="11526" width="2.33203125" style="533" customWidth="1"/>
    <col min="11527" max="11551" width="3.33203125" style="533" customWidth="1"/>
    <col min="11552" max="11776" width="11.44140625" style="533"/>
    <col min="11777" max="11777" width="3.33203125" style="533" customWidth="1"/>
    <col min="11778" max="11778" width="4.33203125" style="533" customWidth="1"/>
    <col min="11779" max="11780" width="11.44140625" style="533"/>
    <col min="11781" max="11781" width="1" style="533" customWidth="1"/>
    <col min="11782" max="11782" width="2.33203125" style="533" customWidth="1"/>
    <col min="11783" max="11807" width="3.33203125" style="533" customWidth="1"/>
    <col min="11808" max="12032" width="11.44140625" style="533"/>
    <col min="12033" max="12033" width="3.33203125" style="533" customWidth="1"/>
    <col min="12034" max="12034" width="4.33203125" style="533" customWidth="1"/>
    <col min="12035" max="12036" width="11.44140625" style="533"/>
    <col min="12037" max="12037" width="1" style="533" customWidth="1"/>
    <col min="12038" max="12038" width="2.33203125" style="533" customWidth="1"/>
    <col min="12039" max="12063" width="3.33203125" style="533" customWidth="1"/>
    <col min="12064" max="12288" width="11.44140625" style="533"/>
    <col min="12289" max="12289" width="3.33203125" style="533" customWidth="1"/>
    <col min="12290" max="12290" width="4.33203125" style="533" customWidth="1"/>
    <col min="12291" max="12292" width="11.44140625" style="533"/>
    <col min="12293" max="12293" width="1" style="533" customWidth="1"/>
    <col min="12294" max="12294" width="2.33203125" style="533" customWidth="1"/>
    <col min="12295" max="12319" width="3.33203125" style="533" customWidth="1"/>
    <col min="12320" max="12544" width="11.44140625" style="533"/>
    <col min="12545" max="12545" width="3.33203125" style="533" customWidth="1"/>
    <col min="12546" max="12546" width="4.33203125" style="533" customWidth="1"/>
    <col min="12547" max="12548" width="11.44140625" style="533"/>
    <col min="12549" max="12549" width="1" style="533" customWidth="1"/>
    <col min="12550" max="12550" width="2.33203125" style="533" customWidth="1"/>
    <col min="12551" max="12575" width="3.33203125" style="533" customWidth="1"/>
    <col min="12576" max="12800" width="11.44140625" style="533"/>
    <col min="12801" max="12801" width="3.33203125" style="533" customWidth="1"/>
    <col min="12802" max="12802" width="4.33203125" style="533" customWidth="1"/>
    <col min="12803" max="12804" width="11.44140625" style="533"/>
    <col min="12805" max="12805" width="1" style="533" customWidth="1"/>
    <col min="12806" max="12806" width="2.33203125" style="533" customWidth="1"/>
    <col min="12807" max="12831" width="3.33203125" style="533" customWidth="1"/>
    <col min="12832" max="13056" width="11.44140625" style="533"/>
    <col min="13057" max="13057" width="3.33203125" style="533" customWidth="1"/>
    <col min="13058" max="13058" width="4.33203125" style="533" customWidth="1"/>
    <col min="13059" max="13060" width="11.44140625" style="533"/>
    <col min="13061" max="13061" width="1" style="533" customWidth="1"/>
    <col min="13062" max="13062" width="2.33203125" style="533" customWidth="1"/>
    <col min="13063" max="13087" width="3.33203125" style="533" customWidth="1"/>
    <col min="13088" max="13312" width="11.44140625" style="533"/>
    <col min="13313" max="13313" width="3.33203125" style="533" customWidth="1"/>
    <col min="13314" max="13314" width="4.33203125" style="533" customWidth="1"/>
    <col min="13315" max="13316" width="11.44140625" style="533"/>
    <col min="13317" max="13317" width="1" style="533" customWidth="1"/>
    <col min="13318" max="13318" width="2.33203125" style="533" customWidth="1"/>
    <col min="13319" max="13343" width="3.33203125" style="533" customWidth="1"/>
    <col min="13344" max="13568" width="11.44140625" style="533"/>
    <col min="13569" max="13569" width="3.33203125" style="533" customWidth="1"/>
    <col min="13570" max="13570" width="4.33203125" style="533" customWidth="1"/>
    <col min="13571" max="13572" width="11.44140625" style="533"/>
    <col min="13573" max="13573" width="1" style="533" customWidth="1"/>
    <col min="13574" max="13574" width="2.33203125" style="533" customWidth="1"/>
    <col min="13575" max="13599" width="3.33203125" style="533" customWidth="1"/>
    <col min="13600" max="13824" width="11.44140625" style="533"/>
    <col min="13825" max="13825" width="3.33203125" style="533" customWidth="1"/>
    <col min="13826" max="13826" width="4.33203125" style="533" customWidth="1"/>
    <col min="13827" max="13828" width="11.44140625" style="533"/>
    <col min="13829" max="13829" width="1" style="533" customWidth="1"/>
    <col min="13830" max="13830" width="2.33203125" style="533" customWidth="1"/>
    <col min="13831" max="13855" width="3.33203125" style="533" customWidth="1"/>
    <col min="13856" max="14080" width="11.44140625" style="533"/>
    <col min="14081" max="14081" width="3.33203125" style="533" customWidth="1"/>
    <col min="14082" max="14082" width="4.33203125" style="533" customWidth="1"/>
    <col min="14083" max="14084" width="11.44140625" style="533"/>
    <col min="14085" max="14085" width="1" style="533" customWidth="1"/>
    <col min="14086" max="14086" width="2.33203125" style="533" customWidth="1"/>
    <col min="14087" max="14111" width="3.33203125" style="533" customWidth="1"/>
    <col min="14112" max="14336" width="11.44140625" style="533"/>
    <col min="14337" max="14337" width="3.33203125" style="533" customWidth="1"/>
    <col min="14338" max="14338" width="4.33203125" style="533" customWidth="1"/>
    <col min="14339" max="14340" width="11.44140625" style="533"/>
    <col min="14341" max="14341" width="1" style="533" customWidth="1"/>
    <col min="14342" max="14342" width="2.33203125" style="533" customWidth="1"/>
    <col min="14343" max="14367" width="3.33203125" style="533" customWidth="1"/>
    <col min="14368" max="14592" width="11.44140625" style="533"/>
    <col min="14593" max="14593" width="3.33203125" style="533" customWidth="1"/>
    <col min="14594" max="14594" width="4.33203125" style="533" customWidth="1"/>
    <col min="14595" max="14596" width="11.44140625" style="533"/>
    <col min="14597" max="14597" width="1" style="533" customWidth="1"/>
    <col min="14598" max="14598" width="2.33203125" style="533" customWidth="1"/>
    <col min="14599" max="14623" width="3.33203125" style="533" customWidth="1"/>
    <col min="14624" max="14848" width="11.44140625" style="533"/>
    <col min="14849" max="14849" width="3.33203125" style="533" customWidth="1"/>
    <col min="14850" max="14850" width="4.33203125" style="533" customWidth="1"/>
    <col min="14851" max="14852" width="11.44140625" style="533"/>
    <col min="14853" max="14853" width="1" style="533" customWidth="1"/>
    <col min="14854" max="14854" width="2.33203125" style="533" customWidth="1"/>
    <col min="14855" max="14879" width="3.33203125" style="533" customWidth="1"/>
    <col min="14880" max="15104" width="11.44140625" style="533"/>
    <col min="15105" max="15105" width="3.33203125" style="533" customWidth="1"/>
    <col min="15106" max="15106" width="4.33203125" style="533" customWidth="1"/>
    <col min="15107" max="15108" width="11.44140625" style="533"/>
    <col min="15109" max="15109" width="1" style="533" customWidth="1"/>
    <col min="15110" max="15110" width="2.33203125" style="533" customWidth="1"/>
    <col min="15111" max="15135" width="3.33203125" style="533" customWidth="1"/>
    <col min="15136" max="15360" width="11.44140625" style="533"/>
    <col min="15361" max="15361" width="3.33203125" style="533" customWidth="1"/>
    <col min="15362" max="15362" width="4.33203125" style="533" customWidth="1"/>
    <col min="15363" max="15364" width="11.44140625" style="533"/>
    <col min="15365" max="15365" width="1" style="533" customWidth="1"/>
    <col min="15366" max="15366" width="2.33203125" style="533" customWidth="1"/>
    <col min="15367" max="15391" width="3.33203125" style="533" customWidth="1"/>
    <col min="15392" max="15616" width="11.44140625" style="533"/>
    <col min="15617" max="15617" width="3.33203125" style="533" customWidth="1"/>
    <col min="15618" max="15618" width="4.33203125" style="533" customWidth="1"/>
    <col min="15619" max="15620" width="11.44140625" style="533"/>
    <col min="15621" max="15621" width="1" style="533" customWidth="1"/>
    <col min="15622" max="15622" width="2.33203125" style="533" customWidth="1"/>
    <col min="15623" max="15647" width="3.33203125" style="533" customWidth="1"/>
    <col min="15648" max="15872" width="11.44140625" style="533"/>
    <col min="15873" max="15873" width="3.33203125" style="533" customWidth="1"/>
    <col min="15874" max="15874" width="4.33203125" style="533" customWidth="1"/>
    <col min="15875" max="15876" width="11.44140625" style="533"/>
    <col min="15877" max="15877" width="1" style="533" customWidth="1"/>
    <col min="15878" max="15878" width="2.33203125" style="533" customWidth="1"/>
    <col min="15879" max="15903" width="3.33203125" style="533" customWidth="1"/>
    <col min="15904" max="16128" width="11.44140625" style="533"/>
    <col min="16129" max="16129" width="3.33203125" style="533" customWidth="1"/>
    <col min="16130" max="16130" width="4.33203125" style="533" customWidth="1"/>
    <col min="16131" max="16132" width="11.44140625" style="533"/>
    <col min="16133" max="16133" width="1" style="533" customWidth="1"/>
    <col min="16134" max="16134" width="2.33203125" style="533" customWidth="1"/>
    <col min="16135" max="16159" width="3.33203125" style="533" customWidth="1"/>
    <col min="16160" max="16384" width="11.44140625" style="533"/>
  </cols>
  <sheetData>
    <row r="6" spans="2:45" ht="15.6" x14ac:dyDescent="0.25">
      <c r="C6" s="534"/>
      <c r="J6" s="534"/>
      <c r="K6" s="534"/>
    </row>
    <row r="8" spans="2:45" ht="18.600000000000001" thickBot="1" x14ac:dyDescent="0.4">
      <c r="B8" s="535" t="s">
        <v>766</v>
      </c>
      <c r="C8" s="536"/>
      <c r="D8" s="536"/>
      <c r="F8" s="537"/>
      <c r="G8" s="538" t="s">
        <v>767</v>
      </c>
      <c r="H8" s="539"/>
      <c r="I8" s="539"/>
      <c r="J8" s="539"/>
      <c r="K8" s="539"/>
      <c r="L8" s="539"/>
      <c r="M8" s="539"/>
      <c r="N8" s="539"/>
      <c r="O8" s="539"/>
      <c r="P8" s="539"/>
      <c r="Q8" s="539"/>
      <c r="W8" s="540"/>
    </row>
    <row r="9" spans="2:45" ht="20.100000000000001" customHeight="1" x14ac:dyDescent="0.35">
      <c r="B9" s="541">
        <v>0</v>
      </c>
      <c r="C9" s="542" t="s">
        <v>768</v>
      </c>
      <c r="D9" s="543"/>
      <c r="F9" s="537"/>
      <c r="G9" s="544"/>
      <c r="H9" s="544"/>
      <c r="I9" s="544"/>
      <c r="J9" s="544" t="s">
        <v>524</v>
      </c>
      <c r="K9" s="544"/>
      <c r="L9" s="544"/>
      <c r="M9" s="544"/>
      <c r="N9" s="544"/>
      <c r="O9" s="544"/>
      <c r="P9" s="544"/>
      <c r="Q9" s="544"/>
      <c r="R9" s="544"/>
      <c r="S9" s="544"/>
      <c r="T9" s="544"/>
      <c r="U9" s="544"/>
      <c r="V9" s="544"/>
      <c r="W9" s="545"/>
      <c r="X9" s="546"/>
    </row>
    <row r="10" spans="2:45" ht="14.25" customHeight="1" x14ac:dyDescent="0.35">
      <c r="B10" s="547">
        <v>2</v>
      </c>
      <c r="C10" s="548" t="s">
        <v>769</v>
      </c>
      <c r="D10" s="549"/>
      <c r="F10" s="537"/>
      <c r="G10" s="550" t="s">
        <v>770</v>
      </c>
    </row>
    <row r="11" spans="2:45" ht="14.25" customHeight="1" x14ac:dyDescent="0.35">
      <c r="B11" s="551">
        <v>5</v>
      </c>
      <c r="C11" s="552" t="s">
        <v>771</v>
      </c>
      <c r="D11" s="553"/>
      <c r="F11" s="537"/>
      <c r="G11" s="550" t="s">
        <v>772</v>
      </c>
      <c r="H11" s="550"/>
      <c r="W11" s="540"/>
    </row>
    <row r="12" spans="2:45" ht="15" customHeight="1" thickBot="1" x14ac:dyDescent="0.4">
      <c r="B12" s="554">
        <v>8</v>
      </c>
      <c r="C12" s="555" t="s">
        <v>773</v>
      </c>
      <c r="D12" s="556"/>
      <c r="F12" s="537"/>
      <c r="G12" s="550" t="s">
        <v>774</v>
      </c>
      <c r="H12" s="550"/>
      <c r="W12" s="540"/>
    </row>
    <row r="13" spans="2:45" ht="18.75" customHeight="1" thickBot="1" x14ac:dyDescent="0.4">
      <c r="B13" s="557">
        <v>10</v>
      </c>
      <c r="C13" s="558" t="s">
        <v>775</v>
      </c>
      <c r="D13" s="559"/>
      <c r="F13" s="537"/>
      <c r="G13" s="560" t="s">
        <v>776</v>
      </c>
      <c r="H13" s="561"/>
      <c r="I13" s="561"/>
      <c r="J13" s="561"/>
      <c r="K13" s="561"/>
      <c r="L13" s="561"/>
      <c r="M13" s="561"/>
      <c r="N13" s="561"/>
      <c r="O13" s="561"/>
      <c r="P13" s="561"/>
      <c r="Q13" s="561"/>
      <c r="R13" s="561"/>
      <c r="S13" s="561"/>
      <c r="T13" s="561"/>
      <c r="U13" s="561"/>
      <c r="V13" s="561"/>
      <c r="W13" s="562"/>
      <c r="X13" s="563"/>
    </row>
    <row r="14" spans="2:45" ht="171" customHeight="1" thickBot="1" x14ac:dyDescent="0.3">
      <c r="F14" s="540" t="s">
        <v>777</v>
      </c>
      <c r="G14" s="564" t="s">
        <v>778</v>
      </c>
      <c r="H14" s="565" t="s">
        <v>779</v>
      </c>
      <c r="I14" s="566" t="s">
        <v>780</v>
      </c>
      <c r="J14" s="566" t="s">
        <v>781</v>
      </c>
      <c r="K14" s="566" t="s">
        <v>782</v>
      </c>
      <c r="L14" s="566" t="s">
        <v>783</v>
      </c>
      <c r="M14" s="566" t="s">
        <v>784</v>
      </c>
      <c r="N14" s="566" t="s">
        <v>785</v>
      </c>
      <c r="O14" s="566" t="s">
        <v>786</v>
      </c>
      <c r="P14" s="566" t="s">
        <v>787</v>
      </c>
      <c r="Q14" s="566" t="s">
        <v>788</v>
      </c>
      <c r="R14" s="566" t="s">
        <v>789</v>
      </c>
      <c r="S14" s="566" t="s">
        <v>790</v>
      </c>
      <c r="T14" s="566" t="s">
        <v>791</v>
      </c>
      <c r="U14" s="566" t="s">
        <v>792</v>
      </c>
      <c r="V14" s="566" t="s">
        <v>793</v>
      </c>
      <c r="W14" s="566" t="s">
        <v>794</v>
      </c>
      <c r="X14" s="567" t="s">
        <v>795</v>
      </c>
      <c r="Y14" s="568"/>
      <c r="Z14" s="568"/>
      <c r="AA14" s="568"/>
      <c r="AB14" s="568"/>
      <c r="AC14" s="568"/>
      <c r="AD14" s="568"/>
      <c r="AE14" s="568"/>
      <c r="AF14" s="568"/>
      <c r="AG14" s="568"/>
      <c r="AH14" s="568"/>
      <c r="AI14" s="568"/>
      <c r="AJ14" s="568"/>
      <c r="AK14" s="568"/>
      <c r="AL14" s="568"/>
      <c r="AM14" s="568"/>
      <c r="AN14" s="568"/>
      <c r="AO14" s="568"/>
      <c r="AP14" s="568"/>
      <c r="AQ14" s="568"/>
      <c r="AR14" s="568"/>
      <c r="AS14" s="568"/>
    </row>
    <row r="15" spans="2:45" x14ac:dyDescent="0.25">
      <c r="D15" s="706" t="s">
        <v>796</v>
      </c>
      <c r="E15" s="707"/>
      <c r="F15" s="708"/>
      <c r="G15" s="569">
        <v>8</v>
      </c>
      <c r="H15" s="570">
        <v>8</v>
      </c>
      <c r="I15" s="571">
        <v>10</v>
      </c>
      <c r="J15" s="572">
        <v>5</v>
      </c>
      <c r="K15" s="572">
        <v>5</v>
      </c>
      <c r="L15" s="573">
        <v>2</v>
      </c>
      <c r="M15" s="574">
        <v>10</v>
      </c>
      <c r="N15" s="575">
        <v>5</v>
      </c>
      <c r="O15" s="576">
        <v>10</v>
      </c>
      <c r="P15" s="577">
        <v>5</v>
      </c>
      <c r="Q15" s="576">
        <v>10</v>
      </c>
      <c r="R15" s="576">
        <v>10</v>
      </c>
      <c r="S15" s="578">
        <v>8</v>
      </c>
      <c r="T15" s="579">
        <v>5</v>
      </c>
      <c r="U15" s="570">
        <v>8</v>
      </c>
      <c r="V15" s="570">
        <v>8</v>
      </c>
      <c r="W15" s="577">
        <v>5</v>
      </c>
      <c r="X15" s="580"/>
    </row>
    <row r="16" spans="2:45" x14ac:dyDescent="0.25">
      <c r="D16" s="709" t="s">
        <v>797</v>
      </c>
      <c r="E16" s="710"/>
      <c r="F16" s="711"/>
      <c r="G16" s="569">
        <v>8</v>
      </c>
      <c r="H16" s="572">
        <v>5</v>
      </c>
      <c r="I16" s="570">
        <v>8</v>
      </c>
      <c r="J16" s="570">
        <v>8</v>
      </c>
      <c r="K16" s="570">
        <v>8</v>
      </c>
      <c r="L16" s="581">
        <v>10</v>
      </c>
      <c r="M16" s="570">
        <v>8</v>
      </c>
      <c r="N16" s="581">
        <v>10</v>
      </c>
      <c r="O16" s="577">
        <v>5</v>
      </c>
      <c r="P16" s="570">
        <v>8</v>
      </c>
      <c r="Q16" s="582">
        <v>5</v>
      </c>
      <c r="R16" s="572">
        <v>5</v>
      </c>
      <c r="S16" s="581">
        <v>10</v>
      </c>
      <c r="T16" s="570">
        <v>8</v>
      </c>
      <c r="U16" s="570">
        <v>8</v>
      </c>
      <c r="V16" s="577">
        <v>5</v>
      </c>
      <c r="W16" s="570">
        <v>8</v>
      </c>
      <c r="X16" s="583"/>
    </row>
    <row r="17" spans="2:24" x14ac:dyDescent="0.25">
      <c r="D17" s="709" t="s">
        <v>798</v>
      </c>
      <c r="E17" s="710"/>
      <c r="F17" s="711"/>
      <c r="G17" s="569">
        <v>8</v>
      </c>
      <c r="H17" s="570">
        <v>8</v>
      </c>
      <c r="I17" s="570">
        <v>8</v>
      </c>
      <c r="J17" s="584">
        <v>8</v>
      </c>
      <c r="K17" s="572">
        <v>5</v>
      </c>
      <c r="L17" s="575">
        <v>5</v>
      </c>
      <c r="M17" s="574">
        <v>10</v>
      </c>
      <c r="N17" s="578">
        <v>8</v>
      </c>
      <c r="O17" s="584">
        <v>8</v>
      </c>
      <c r="P17" s="574">
        <v>10</v>
      </c>
      <c r="Q17" s="585">
        <v>8</v>
      </c>
      <c r="R17" s="570">
        <v>8</v>
      </c>
      <c r="S17" s="578">
        <v>8</v>
      </c>
      <c r="T17" s="572">
        <v>5</v>
      </c>
      <c r="U17" s="570">
        <v>8</v>
      </c>
      <c r="V17" s="570">
        <v>8</v>
      </c>
      <c r="W17" s="576">
        <v>10</v>
      </c>
      <c r="X17" s="583"/>
    </row>
    <row r="18" spans="2:24" x14ac:dyDescent="0.25">
      <c r="D18" s="709" t="s">
        <v>799</v>
      </c>
      <c r="E18" s="710"/>
      <c r="F18" s="711"/>
      <c r="G18" s="586">
        <v>2</v>
      </c>
      <c r="H18" s="587">
        <v>2</v>
      </c>
      <c r="I18" s="587">
        <v>2</v>
      </c>
      <c r="J18" s="587">
        <v>0</v>
      </c>
      <c r="K18" s="584">
        <v>8</v>
      </c>
      <c r="L18" s="588">
        <v>2</v>
      </c>
      <c r="M18" s="577">
        <v>5</v>
      </c>
      <c r="N18" s="588">
        <v>2</v>
      </c>
      <c r="O18" s="588">
        <v>2</v>
      </c>
      <c r="P18" s="577">
        <v>5</v>
      </c>
      <c r="Q18" s="573">
        <v>2</v>
      </c>
      <c r="R18" s="587">
        <v>2</v>
      </c>
      <c r="S18" s="575">
        <v>5</v>
      </c>
      <c r="T18" s="570">
        <v>8</v>
      </c>
      <c r="U18" s="577">
        <v>5</v>
      </c>
      <c r="V18" s="572">
        <v>5</v>
      </c>
      <c r="W18" s="573">
        <v>0</v>
      </c>
      <c r="X18" s="583"/>
    </row>
    <row r="23" spans="2:24" x14ac:dyDescent="0.25">
      <c r="B23" s="533" t="s">
        <v>800</v>
      </c>
    </row>
  </sheetData>
  <mergeCells count="4">
    <mergeCell ref="D15:F15"/>
    <mergeCell ref="D16:F16"/>
    <mergeCell ref="D17:F17"/>
    <mergeCell ref="D18:F18"/>
  </mergeCells>
  <pageMargins left="0.78740157499999996" right="0.78740157499999996" top="0.984251969" bottom="0.984251969" header="0.49212598499999999" footer="0.49212598499999999"/>
  <pageSetup paperSize="9" orientation="portrait" horizontalDpi="300" r:id="rId1"/>
  <headerFooter alignWithMargins="0">
    <oddHeader>&amp;A</oddHeader>
    <oddFooter>Página &amp;P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7A37-C1D8-4DAF-9616-299926ADB32D}">
  <dimension ref="B2:R90"/>
  <sheetViews>
    <sheetView showGridLines="0" tabSelected="1" zoomScale="90" zoomScaleNormal="90" zoomScaleSheetLayoutView="100" workbookViewId="0">
      <pane ySplit="5" topLeftCell="A7" activePane="bottomLeft" state="frozenSplit"/>
      <selection pane="bottomLeft" activeCell="C2" sqref="C2"/>
    </sheetView>
  </sheetViews>
  <sheetFormatPr defaultRowHeight="13.2" x14ac:dyDescent="0.25"/>
  <cols>
    <col min="1" max="1" width="1.44140625" style="533" customWidth="1"/>
    <col min="2" max="2" width="9" style="533" bestFit="1" customWidth="1"/>
    <col min="3" max="3" width="67.33203125" style="533" bestFit="1" customWidth="1"/>
    <col min="4" max="4" width="8.6640625" style="589" customWidth="1"/>
    <col min="5" max="10" width="5.6640625" style="589" customWidth="1"/>
    <col min="11" max="11" width="8.88671875" style="533"/>
    <col min="12" max="12" width="16.88671875" style="533" bestFit="1" customWidth="1"/>
    <col min="13" max="13" width="22.44140625" style="533" bestFit="1" customWidth="1"/>
    <col min="14" max="255" width="8.88671875" style="533"/>
    <col min="256" max="256" width="1.44140625" style="533" customWidth="1"/>
    <col min="257" max="257" width="9" style="533" bestFit="1" customWidth="1"/>
    <col min="258" max="258" width="67.33203125" style="533" bestFit="1" customWidth="1"/>
    <col min="259" max="259" width="13" style="533" customWidth="1"/>
    <col min="260" max="266" width="5.6640625" style="533" customWidth="1"/>
    <col min="267" max="267" width="8.88671875" style="533"/>
    <col min="268" max="268" width="16.88671875" style="533" bestFit="1" customWidth="1"/>
    <col min="269" max="269" width="22.44140625" style="533" bestFit="1" customWidth="1"/>
    <col min="270" max="511" width="8.88671875" style="533"/>
    <col min="512" max="512" width="1.44140625" style="533" customWidth="1"/>
    <col min="513" max="513" width="9" style="533" bestFit="1" customWidth="1"/>
    <col min="514" max="514" width="67.33203125" style="533" bestFit="1" customWidth="1"/>
    <col min="515" max="515" width="13" style="533" customWidth="1"/>
    <col min="516" max="522" width="5.6640625" style="533" customWidth="1"/>
    <col min="523" max="523" width="8.88671875" style="533"/>
    <col min="524" max="524" width="16.88671875" style="533" bestFit="1" customWidth="1"/>
    <col min="525" max="525" width="22.44140625" style="533" bestFit="1" customWidth="1"/>
    <col min="526" max="767" width="8.88671875" style="533"/>
    <col min="768" max="768" width="1.44140625" style="533" customWidth="1"/>
    <col min="769" max="769" width="9" style="533" bestFit="1" customWidth="1"/>
    <col min="770" max="770" width="67.33203125" style="533" bestFit="1" customWidth="1"/>
    <col min="771" max="771" width="13" style="533" customWidth="1"/>
    <col min="772" max="778" width="5.6640625" style="533" customWidth="1"/>
    <col min="779" max="779" width="8.88671875" style="533"/>
    <col min="780" max="780" width="16.88671875" style="533" bestFit="1" customWidth="1"/>
    <col min="781" max="781" width="22.44140625" style="533" bestFit="1" customWidth="1"/>
    <col min="782" max="1023" width="8.88671875" style="533"/>
    <col min="1024" max="1024" width="1.44140625" style="533" customWidth="1"/>
    <col min="1025" max="1025" width="9" style="533" bestFit="1" customWidth="1"/>
    <col min="1026" max="1026" width="67.33203125" style="533" bestFit="1" customWidth="1"/>
    <col min="1027" max="1027" width="13" style="533" customWidth="1"/>
    <col min="1028" max="1034" width="5.6640625" style="533" customWidth="1"/>
    <col min="1035" max="1035" width="8.88671875" style="533"/>
    <col min="1036" max="1036" width="16.88671875" style="533" bestFit="1" customWidth="1"/>
    <col min="1037" max="1037" width="22.44140625" style="533" bestFit="1" customWidth="1"/>
    <col min="1038" max="1279" width="8.88671875" style="533"/>
    <col min="1280" max="1280" width="1.44140625" style="533" customWidth="1"/>
    <col min="1281" max="1281" width="9" style="533" bestFit="1" customWidth="1"/>
    <col min="1282" max="1282" width="67.33203125" style="533" bestFit="1" customWidth="1"/>
    <col min="1283" max="1283" width="13" style="533" customWidth="1"/>
    <col min="1284" max="1290" width="5.6640625" style="533" customWidth="1"/>
    <col min="1291" max="1291" width="8.88671875" style="533"/>
    <col min="1292" max="1292" width="16.88671875" style="533" bestFit="1" customWidth="1"/>
    <col min="1293" max="1293" width="22.44140625" style="533" bestFit="1" customWidth="1"/>
    <col min="1294" max="1535" width="8.88671875" style="533"/>
    <col min="1536" max="1536" width="1.44140625" style="533" customWidth="1"/>
    <col min="1537" max="1537" width="9" style="533" bestFit="1" customWidth="1"/>
    <col min="1538" max="1538" width="67.33203125" style="533" bestFit="1" customWidth="1"/>
    <col min="1539" max="1539" width="13" style="533" customWidth="1"/>
    <col min="1540" max="1546" width="5.6640625" style="533" customWidth="1"/>
    <col min="1547" max="1547" width="8.88671875" style="533"/>
    <col min="1548" max="1548" width="16.88671875" style="533" bestFit="1" customWidth="1"/>
    <col min="1549" max="1549" width="22.44140625" style="533" bestFit="1" customWidth="1"/>
    <col min="1550" max="1791" width="8.88671875" style="533"/>
    <col min="1792" max="1792" width="1.44140625" style="533" customWidth="1"/>
    <col min="1793" max="1793" width="9" style="533" bestFit="1" customWidth="1"/>
    <col min="1794" max="1794" width="67.33203125" style="533" bestFit="1" customWidth="1"/>
    <col min="1795" max="1795" width="13" style="533" customWidth="1"/>
    <col min="1796" max="1802" width="5.6640625" style="533" customWidth="1"/>
    <col min="1803" max="1803" width="8.88671875" style="533"/>
    <col min="1804" max="1804" width="16.88671875" style="533" bestFit="1" customWidth="1"/>
    <col min="1805" max="1805" width="22.44140625" style="533" bestFit="1" customWidth="1"/>
    <col min="1806" max="2047" width="8.88671875" style="533"/>
    <col min="2048" max="2048" width="1.44140625" style="533" customWidth="1"/>
    <col min="2049" max="2049" width="9" style="533" bestFit="1" customWidth="1"/>
    <col min="2050" max="2050" width="67.33203125" style="533" bestFit="1" customWidth="1"/>
    <col min="2051" max="2051" width="13" style="533" customWidth="1"/>
    <col min="2052" max="2058" width="5.6640625" style="533" customWidth="1"/>
    <col min="2059" max="2059" width="8.88671875" style="533"/>
    <col min="2060" max="2060" width="16.88671875" style="533" bestFit="1" customWidth="1"/>
    <col min="2061" max="2061" width="22.44140625" style="533" bestFit="1" customWidth="1"/>
    <col min="2062" max="2303" width="8.88671875" style="533"/>
    <col min="2304" max="2304" width="1.44140625" style="533" customWidth="1"/>
    <col min="2305" max="2305" width="9" style="533" bestFit="1" customWidth="1"/>
    <col min="2306" max="2306" width="67.33203125" style="533" bestFit="1" customWidth="1"/>
    <col min="2307" max="2307" width="13" style="533" customWidth="1"/>
    <col min="2308" max="2314" width="5.6640625" style="533" customWidth="1"/>
    <col min="2315" max="2315" width="8.88671875" style="533"/>
    <col min="2316" max="2316" width="16.88671875" style="533" bestFit="1" customWidth="1"/>
    <col min="2317" max="2317" width="22.44140625" style="533" bestFit="1" customWidth="1"/>
    <col min="2318" max="2559" width="8.88671875" style="533"/>
    <col min="2560" max="2560" width="1.44140625" style="533" customWidth="1"/>
    <col min="2561" max="2561" width="9" style="533" bestFit="1" customWidth="1"/>
    <col min="2562" max="2562" width="67.33203125" style="533" bestFit="1" customWidth="1"/>
    <col min="2563" max="2563" width="13" style="533" customWidth="1"/>
    <col min="2564" max="2570" width="5.6640625" style="533" customWidth="1"/>
    <col min="2571" max="2571" width="8.88671875" style="533"/>
    <col min="2572" max="2572" width="16.88671875" style="533" bestFit="1" customWidth="1"/>
    <col min="2573" max="2573" width="22.44140625" style="533" bestFit="1" customWidth="1"/>
    <col min="2574" max="2815" width="8.88671875" style="533"/>
    <col min="2816" max="2816" width="1.44140625" style="533" customWidth="1"/>
    <col min="2817" max="2817" width="9" style="533" bestFit="1" customWidth="1"/>
    <col min="2818" max="2818" width="67.33203125" style="533" bestFit="1" customWidth="1"/>
    <col min="2819" max="2819" width="13" style="533" customWidth="1"/>
    <col min="2820" max="2826" width="5.6640625" style="533" customWidth="1"/>
    <col min="2827" max="2827" width="8.88671875" style="533"/>
    <col min="2828" max="2828" width="16.88671875" style="533" bestFit="1" customWidth="1"/>
    <col min="2829" max="2829" width="22.44140625" style="533" bestFit="1" customWidth="1"/>
    <col min="2830" max="3071" width="8.88671875" style="533"/>
    <col min="3072" max="3072" width="1.44140625" style="533" customWidth="1"/>
    <col min="3073" max="3073" width="9" style="533" bestFit="1" customWidth="1"/>
    <col min="3074" max="3074" width="67.33203125" style="533" bestFit="1" customWidth="1"/>
    <col min="3075" max="3075" width="13" style="533" customWidth="1"/>
    <col min="3076" max="3082" width="5.6640625" style="533" customWidth="1"/>
    <col min="3083" max="3083" width="8.88671875" style="533"/>
    <col min="3084" max="3084" width="16.88671875" style="533" bestFit="1" customWidth="1"/>
    <col min="3085" max="3085" width="22.44140625" style="533" bestFit="1" customWidth="1"/>
    <col min="3086" max="3327" width="8.88671875" style="533"/>
    <col min="3328" max="3328" width="1.44140625" style="533" customWidth="1"/>
    <col min="3329" max="3329" width="9" style="533" bestFit="1" customWidth="1"/>
    <col min="3330" max="3330" width="67.33203125" style="533" bestFit="1" customWidth="1"/>
    <col min="3331" max="3331" width="13" style="533" customWidth="1"/>
    <col min="3332" max="3338" width="5.6640625" style="533" customWidth="1"/>
    <col min="3339" max="3339" width="8.88671875" style="533"/>
    <col min="3340" max="3340" width="16.88671875" style="533" bestFit="1" customWidth="1"/>
    <col min="3341" max="3341" width="22.44140625" style="533" bestFit="1" customWidth="1"/>
    <col min="3342" max="3583" width="8.88671875" style="533"/>
    <col min="3584" max="3584" width="1.44140625" style="533" customWidth="1"/>
    <col min="3585" max="3585" width="9" style="533" bestFit="1" customWidth="1"/>
    <col min="3586" max="3586" width="67.33203125" style="533" bestFit="1" customWidth="1"/>
    <col min="3587" max="3587" width="13" style="533" customWidth="1"/>
    <col min="3588" max="3594" width="5.6640625" style="533" customWidth="1"/>
    <col min="3595" max="3595" width="8.88671875" style="533"/>
    <col min="3596" max="3596" width="16.88671875" style="533" bestFit="1" customWidth="1"/>
    <col min="3597" max="3597" width="22.44140625" style="533" bestFit="1" customWidth="1"/>
    <col min="3598" max="3839" width="8.88671875" style="533"/>
    <col min="3840" max="3840" width="1.44140625" style="533" customWidth="1"/>
    <col min="3841" max="3841" width="9" style="533" bestFit="1" customWidth="1"/>
    <col min="3842" max="3842" width="67.33203125" style="533" bestFit="1" customWidth="1"/>
    <col min="3843" max="3843" width="13" style="533" customWidth="1"/>
    <col min="3844" max="3850" width="5.6640625" style="533" customWidth="1"/>
    <col min="3851" max="3851" width="8.88671875" style="533"/>
    <col min="3852" max="3852" width="16.88671875" style="533" bestFit="1" customWidth="1"/>
    <col min="3853" max="3853" width="22.44140625" style="533" bestFit="1" customWidth="1"/>
    <col min="3854" max="4095" width="8.88671875" style="533"/>
    <col min="4096" max="4096" width="1.44140625" style="533" customWidth="1"/>
    <col min="4097" max="4097" width="9" style="533" bestFit="1" customWidth="1"/>
    <col min="4098" max="4098" width="67.33203125" style="533" bestFit="1" customWidth="1"/>
    <col min="4099" max="4099" width="13" style="533" customWidth="1"/>
    <col min="4100" max="4106" width="5.6640625" style="533" customWidth="1"/>
    <col min="4107" max="4107" width="8.88671875" style="533"/>
    <col min="4108" max="4108" width="16.88671875" style="533" bestFit="1" customWidth="1"/>
    <col min="4109" max="4109" width="22.44140625" style="533" bestFit="1" customWidth="1"/>
    <col min="4110" max="4351" width="8.88671875" style="533"/>
    <col min="4352" max="4352" width="1.44140625" style="533" customWidth="1"/>
    <col min="4353" max="4353" width="9" style="533" bestFit="1" customWidth="1"/>
    <col min="4354" max="4354" width="67.33203125" style="533" bestFit="1" customWidth="1"/>
    <col min="4355" max="4355" width="13" style="533" customWidth="1"/>
    <col min="4356" max="4362" width="5.6640625" style="533" customWidth="1"/>
    <col min="4363" max="4363" width="8.88671875" style="533"/>
    <col min="4364" max="4364" width="16.88671875" style="533" bestFit="1" customWidth="1"/>
    <col min="4365" max="4365" width="22.44140625" style="533" bestFit="1" customWidth="1"/>
    <col min="4366" max="4607" width="8.88671875" style="533"/>
    <col min="4608" max="4608" width="1.44140625" style="533" customWidth="1"/>
    <col min="4609" max="4609" width="9" style="533" bestFit="1" customWidth="1"/>
    <col min="4610" max="4610" width="67.33203125" style="533" bestFit="1" customWidth="1"/>
    <col min="4611" max="4611" width="13" style="533" customWidth="1"/>
    <col min="4612" max="4618" width="5.6640625" style="533" customWidth="1"/>
    <col min="4619" max="4619" width="8.88671875" style="533"/>
    <col min="4620" max="4620" width="16.88671875" style="533" bestFit="1" customWidth="1"/>
    <col min="4621" max="4621" width="22.44140625" style="533" bestFit="1" customWidth="1"/>
    <col min="4622" max="4863" width="8.88671875" style="533"/>
    <col min="4864" max="4864" width="1.44140625" style="533" customWidth="1"/>
    <col min="4865" max="4865" width="9" style="533" bestFit="1" customWidth="1"/>
    <col min="4866" max="4866" width="67.33203125" style="533" bestFit="1" customWidth="1"/>
    <col min="4867" max="4867" width="13" style="533" customWidth="1"/>
    <col min="4868" max="4874" width="5.6640625" style="533" customWidth="1"/>
    <col min="4875" max="4875" width="8.88671875" style="533"/>
    <col min="4876" max="4876" width="16.88671875" style="533" bestFit="1" customWidth="1"/>
    <col min="4877" max="4877" width="22.44140625" style="533" bestFit="1" customWidth="1"/>
    <col min="4878" max="5119" width="8.88671875" style="533"/>
    <col min="5120" max="5120" width="1.44140625" style="533" customWidth="1"/>
    <col min="5121" max="5121" width="9" style="533" bestFit="1" customWidth="1"/>
    <col min="5122" max="5122" width="67.33203125" style="533" bestFit="1" customWidth="1"/>
    <col min="5123" max="5123" width="13" style="533" customWidth="1"/>
    <col min="5124" max="5130" width="5.6640625" style="533" customWidth="1"/>
    <col min="5131" max="5131" width="8.88671875" style="533"/>
    <col min="5132" max="5132" width="16.88671875" style="533" bestFit="1" customWidth="1"/>
    <col min="5133" max="5133" width="22.44140625" style="533" bestFit="1" customWidth="1"/>
    <col min="5134" max="5375" width="8.88671875" style="533"/>
    <col min="5376" max="5376" width="1.44140625" style="533" customWidth="1"/>
    <col min="5377" max="5377" width="9" style="533" bestFit="1" customWidth="1"/>
    <col min="5378" max="5378" width="67.33203125" style="533" bestFit="1" customWidth="1"/>
    <col min="5379" max="5379" width="13" style="533" customWidth="1"/>
    <col min="5380" max="5386" width="5.6640625" style="533" customWidth="1"/>
    <col min="5387" max="5387" width="8.88671875" style="533"/>
    <col min="5388" max="5388" width="16.88671875" style="533" bestFit="1" customWidth="1"/>
    <col min="5389" max="5389" width="22.44140625" style="533" bestFit="1" customWidth="1"/>
    <col min="5390" max="5631" width="8.88671875" style="533"/>
    <col min="5632" max="5632" width="1.44140625" style="533" customWidth="1"/>
    <col min="5633" max="5633" width="9" style="533" bestFit="1" customWidth="1"/>
    <col min="5634" max="5634" width="67.33203125" style="533" bestFit="1" customWidth="1"/>
    <col min="5635" max="5635" width="13" style="533" customWidth="1"/>
    <col min="5636" max="5642" width="5.6640625" style="533" customWidth="1"/>
    <col min="5643" max="5643" width="8.88671875" style="533"/>
    <col min="5644" max="5644" width="16.88671875" style="533" bestFit="1" customWidth="1"/>
    <col min="5645" max="5645" width="22.44140625" style="533" bestFit="1" customWidth="1"/>
    <col min="5646" max="5887" width="8.88671875" style="533"/>
    <col min="5888" max="5888" width="1.44140625" style="533" customWidth="1"/>
    <col min="5889" max="5889" width="9" style="533" bestFit="1" customWidth="1"/>
    <col min="5890" max="5890" width="67.33203125" style="533" bestFit="1" customWidth="1"/>
    <col min="5891" max="5891" width="13" style="533" customWidth="1"/>
    <col min="5892" max="5898" width="5.6640625" style="533" customWidth="1"/>
    <col min="5899" max="5899" width="8.88671875" style="533"/>
    <col min="5900" max="5900" width="16.88671875" style="533" bestFit="1" customWidth="1"/>
    <col min="5901" max="5901" width="22.44140625" style="533" bestFit="1" customWidth="1"/>
    <col min="5902" max="6143" width="8.88671875" style="533"/>
    <col min="6144" max="6144" width="1.44140625" style="533" customWidth="1"/>
    <col min="6145" max="6145" width="9" style="533" bestFit="1" customWidth="1"/>
    <col min="6146" max="6146" width="67.33203125" style="533" bestFit="1" customWidth="1"/>
    <col min="6147" max="6147" width="13" style="533" customWidth="1"/>
    <col min="6148" max="6154" width="5.6640625" style="533" customWidth="1"/>
    <col min="6155" max="6155" width="8.88671875" style="533"/>
    <col min="6156" max="6156" width="16.88671875" style="533" bestFit="1" customWidth="1"/>
    <col min="6157" max="6157" width="22.44140625" style="533" bestFit="1" customWidth="1"/>
    <col min="6158" max="6399" width="8.88671875" style="533"/>
    <col min="6400" max="6400" width="1.44140625" style="533" customWidth="1"/>
    <col min="6401" max="6401" width="9" style="533" bestFit="1" customWidth="1"/>
    <col min="6402" max="6402" width="67.33203125" style="533" bestFit="1" customWidth="1"/>
    <col min="6403" max="6403" width="13" style="533" customWidth="1"/>
    <col min="6404" max="6410" width="5.6640625" style="533" customWidth="1"/>
    <col min="6411" max="6411" width="8.88671875" style="533"/>
    <col min="6412" max="6412" width="16.88671875" style="533" bestFit="1" customWidth="1"/>
    <col min="6413" max="6413" width="22.44140625" style="533" bestFit="1" customWidth="1"/>
    <col min="6414" max="6655" width="8.88671875" style="533"/>
    <col min="6656" max="6656" width="1.44140625" style="533" customWidth="1"/>
    <col min="6657" max="6657" width="9" style="533" bestFit="1" customWidth="1"/>
    <col min="6658" max="6658" width="67.33203125" style="533" bestFit="1" customWidth="1"/>
    <col min="6659" max="6659" width="13" style="533" customWidth="1"/>
    <col min="6660" max="6666" width="5.6640625" style="533" customWidth="1"/>
    <col min="6667" max="6667" width="8.88671875" style="533"/>
    <col min="6668" max="6668" width="16.88671875" style="533" bestFit="1" customWidth="1"/>
    <col min="6669" max="6669" width="22.44140625" style="533" bestFit="1" customWidth="1"/>
    <col min="6670" max="6911" width="8.88671875" style="533"/>
    <col min="6912" max="6912" width="1.44140625" style="533" customWidth="1"/>
    <col min="6913" max="6913" width="9" style="533" bestFit="1" customWidth="1"/>
    <col min="6914" max="6914" width="67.33203125" style="533" bestFit="1" customWidth="1"/>
    <col min="6915" max="6915" width="13" style="533" customWidth="1"/>
    <col min="6916" max="6922" width="5.6640625" style="533" customWidth="1"/>
    <col min="6923" max="6923" width="8.88671875" style="533"/>
    <col min="6924" max="6924" width="16.88671875" style="533" bestFit="1" customWidth="1"/>
    <col min="6925" max="6925" width="22.44140625" style="533" bestFit="1" customWidth="1"/>
    <col min="6926" max="7167" width="8.88671875" style="533"/>
    <col min="7168" max="7168" width="1.44140625" style="533" customWidth="1"/>
    <col min="7169" max="7169" width="9" style="533" bestFit="1" customWidth="1"/>
    <col min="7170" max="7170" width="67.33203125" style="533" bestFit="1" customWidth="1"/>
    <col min="7171" max="7171" width="13" style="533" customWidth="1"/>
    <col min="7172" max="7178" width="5.6640625" style="533" customWidth="1"/>
    <col min="7179" max="7179" width="8.88671875" style="533"/>
    <col min="7180" max="7180" width="16.88671875" style="533" bestFit="1" customWidth="1"/>
    <col min="7181" max="7181" width="22.44140625" style="533" bestFit="1" customWidth="1"/>
    <col min="7182" max="7423" width="8.88671875" style="533"/>
    <col min="7424" max="7424" width="1.44140625" style="533" customWidth="1"/>
    <col min="7425" max="7425" width="9" style="533" bestFit="1" customWidth="1"/>
    <col min="7426" max="7426" width="67.33203125" style="533" bestFit="1" customWidth="1"/>
    <col min="7427" max="7427" width="13" style="533" customWidth="1"/>
    <col min="7428" max="7434" width="5.6640625" style="533" customWidth="1"/>
    <col min="7435" max="7435" width="8.88671875" style="533"/>
    <col min="7436" max="7436" width="16.88671875" style="533" bestFit="1" customWidth="1"/>
    <col min="7437" max="7437" width="22.44140625" style="533" bestFit="1" customWidth="1"/>
    <col min="7438" max="7679" width="8.88671875" style="533"/>
    <col min="7680" max="7680" width="1.44140625" style="533" customWidth="1"/>
    <col min="7681" max="7681" width="9" style="533" bestFit="1" customWidth="1"/>
    <col min="7682" max="7682" width="67.33203125" style="533" bestFit="1" customWidth="1"/>
    <col min="7683" max="7683" width="13" style="533" customWidth="1"/>
    <col min="7684" max="7690" width="5.6640625" style="533" customWidth="1"/>
    <col min="7691" max="7691" width="8.88671875" style="533"/>
    <col min="7692" max="7692" width="16.88671875" style="533" bestFit="1" customWidth="1"/>
    <col min="7693" max="7693" width="22.44140625" style="533" bestFit="1" customWidth="1"/>
    <col min="7694" max="7935" width="8.88671875" style="533"/>
    <col min="7936" max="7936" width="1.44140625" style="533" customWidth="1"/>
    <col min="7937" max="7937" width="9" style="533" bestFit="1" customWidth="1"/>
    <col min="7938" max="7938" width="67.33203125" style="533" bestFit="1" customWidth="1"/>
    <col min="7939" max="7939" width="13" style="533" customWidth="1"/>
    <col min="7940" max="7946" width="5.6640625" style="533" customWidth="1"/>
    <col min="7947" max="7947" width="8.88671875" style="533"/>
    <col min="7948" max="7948" width="16.88671875" style="533" bestFit="1" customWidth="1"/>
    <col min="7949" max="7949" width="22.44140625" style="533" bestFit="1" customWidth="1"/>
    <col min="7950" max="8191" width="8.88671875" style="533"/>
    <col min="8192" max="8192" width="1.44140625" style="533" customWidth="1"/>
    <col min="8193" max="8193" width="9" style="533" bestFit="1" customWidth="1"/>
    <col min="8194" max="8194" width="67.33203125" style="533" bestFit="1" customWidth="1"/>
    <col min="8195" max="8195" width="13" style="533" customWidth="1"/>
    <col min="8196" max="8202" width="5.6640625" style="533" customWidth="1"/>
    <col min="8203" max="8203" width="8.88671875" style="533"/>
    <col min="8204" max="8204" width="16.88671875" style="533" bestFit="1" customWidth="1"/>
    <col min="8205" max="8205" width="22.44140625" style="533" bestFit="1" customWidth="1"/>
    <col min="8206" max="8447" width="8.88671875" style="533"/>
    <col min="8448" max="8448" width="1.44140625" style="533" customWidth="1"/>
    <col min="8449" max="8449" width="9" style="533" bestFit="1" customWidth="1"/>
    <col min="8450" max="8450" width="67.33203125" style="533" bestFit="1" customWidth="1"/>
    <col min="8451" max="8451" width="13" style="533" customWidth="1"/>
    <col min="8452" max="8458" width="5.6640625" style="533" customWidth="1"/>
    <col min="8459" max="8459" width="8.88671875" style="533"/>
    <col min="8460" max="8460" width="16.88671875" style="533" bestFit="1" customWidth="1"/>
    <col min="8461" max="8461" width="22.44140625" style="533" bestFit="1" customWidth="1"/>
    <col min="8462" max="8703" width="8.88671875" style="533"/>
    <col min="8704" max="8704" width="1.44140625" style="533" customWidth="1"/>
    <col min="8705" max="8705" width="9" style="533" bestFit="1" customWidth="1"/>
    <col min="8706" max="8706" width="67.33203125" style="533" bestFit="1" customWidth="1"/>
    <col min="8707" max="8707" width="13" style="533" customWidth="1"/>
    <col min="8708" max="8714" width="5.6640625" style="533" customWidth="1"/>
    <col min="8715" max="8715" width="8.88671875" style="533"/>
    <col min="8716" max="8716" width="16.88671875" style="533" bestFit="1" customWidth="1"/>
    <col min="8717" max="8717" width="22.44140625" style="533" bestFit="1" customWidth="1"/>
    <col min="8718" max="8959" width="8.88671875" style="533"/>
    <col min="8960" max="8960" width="1.44140625" style="533" customWidth="1"/>
    <col min="8961" max="8961" width="9" style="533" bestFit="1" customWidth="1"/>
    <col min="8962" max="8962" width="67.33203125" style="533" bestFit="1" customWidth="1"/>
    <col min="8963" max="8963" width="13" style="533" customWidth="1"/>
    <col min="8964" max="8970" width="5.6640625" style="533" customWidth="1"/>
    <col min="8971" max="8971" width="8.88671875" style="533"/>
    <col min="8972" max="8972" width="16.88671875" style="533" bestFit="1" customWidth="1"/>
    <col min="8973" max="8973" width="22.44140625" style="533" bestFit="1" customWidth="1"/>
    <col min="8974" max="9215" width="8.88671875" style="533"/>
    <col min="9216" max="9216" width="1.44140625" style="533" customWidth="1"/>
    <col min="9217" max="9217" width="9" style="533" bestFit="1" customWidth="1"/>
    <col min="9218" max="9218" width="67.33203125" style="533" bestFit="1" customWidth="1"/>
    <col min="9219" max="9219" width="13" style="533" customWidth="1"/>
    <col min="9220" max="9226" width="5.6640625" style="533" customWidth="1"/>
    <col min="9227" max="9227" width="8.88671875" style="533"/>
    <col min="9228" max="9228" width="16.88671875" style="533" bestFit="1" customWidth="1"/>
    <col min="9229" max="9229" width="22.44140625" style="533" bestFit="1" customWidth="1"/>
    <col min="9230" max="9471" width="8.88671875" style="533"/>
    <col min="9472" max="9472" width="1.44140625" style="533" customWidth="1"/>
    <col min="9473" max="9473" width="9" style="533" bestFit="1" customWidth="1"/>
    <col min="9474" max="9474" width="67.33203125" style="533" bestFit="1" customWidth="1"/>
    <col min="9475" max="9475" width="13" style="533" customWidth="1"/>
    <col min="9476" max="9482" width="5.6640625" style="533" customWidth="1"/>
    <col min="9483" max="9483" width="8.88671875" style="533"/>
    <col min="9484" max="9484" width="16.88671875" style="533" bestFit="1" customWidth="1"/>
    <col min="9485" max="9485" width="22.44140625" style="533" bestFit="1" customWidth="1"/>
    <col min="9486" max="9727" width="8.88671875" style="533"/>
    <col min="9728" max="9728" width="1.44140625" style="533" customWidth="1"/>
    <col min="9729" max="9729" width="9" style="533" bestFit="1" customWidth="1"/>
    <col min="9730" max="9730" width="67.33203125" style="533" bestFit="1" customWidth="1"/>
    <col min="9731" max="9731" width="13" style="533" customWidth="1"/>
    <col min="9732" max="9738" width="5.6640625" style="533" customWidth="1"/>
    <col min="9739" max="9739" width="8.88671875" style="533"/>
    <col min="9740" max="9740" width="16.88671875" style="533" bestFit="1" customWidth="1"/>
    <col min="9741" max="9741" width="22.44140625" style="533" bestFit="1" customWidth="1"/>
    <col min="9742" max="9983" width="8.88671875" style="533"/>
    <col min="9984" max="9984" width="1.44140625" style="533" customWidth="1"/>
    <col min="9985" max="9985" width="9" style="533" bestFit="1" customWidth="1"/>
    <col min="9986" max="9986" width="67.33203125" style="533" bestFit="1" customWidth="1"/>
    <col min="9987" max="9987" width="13" style="533" customWidth="1"/>
    <col min="9988" max="9994" width="5.6640625" style="533" customWidth="1"/>
    <col min="9995" max="9995" width="8.88671875" style="533"/>
    <col min="9996" max="9996" width="16.88671875" style="533" bestFit="1" customWidth="1"/>
    <col min="9997" max="9997" width="22.44140625" style="533" bestFit="1" customWidth="1"/>
    <col min="9998" max="10239" width="8.88671875" style="533"/>
    <col min="10240" max="10240" width="1.44140625" style="533" customWidth="1"/>
    <col min="10241" max="10241" width="9" style="533" bestFit="1" customWidth="1"/>
    <col min="10242" max="10242" width="67.33203125" style="533" bestFit="1" customWidth="1"/>
    <col min="10243" max="10243" width="13" style="533" customWidth="1"/>
    <col min="10244" max="10250" width="5.6640625" style="533" customWidth="1"/>
    <col min="10251" max="10251" width="8.88671875" style="533"/>
    <col min="10252" max="10252" width="16.88671875" style="533" bestFit="1" customWidth="1"/>
    <col min="10253" max="10253" width="22.44140625" style="533" bestFit="1" customWidth="1"/>
    <col min="10254" max="10495" width="8.88671875" style="533"/>
    <col min="10496" max="10496" width="1.44140625" style="533" customWidth="1"/>
    <col min="10497" max="10497" width="9" style="533" bestFit="1" customWidth="1"/>
    <col min="10498" max="10498" width="67.33203125" style="533" bestFit="1" customWidth="1"/>
    <col min="10499" max="10499" width="13" style="533" customWidth="1"/>
    <col min="10500" max="10506" width="5.6640625" style="533" customWidth="1"/>
    <col min="10507" max="10507" width="8.88671875" style="533"/>
    <col min="10508" max="10508" width="16.88671875" style="533" bestFit="1" customWidth="1"/>
    <col min="10509" max="10509" width="22.44140625" style="533" bestFit="1" customWidth="1"/>
    <col min="10510" max="10751" width="8.88671875" style="533"/>
    <col min="10752" max="10752" width="1.44140625" style="533" customWidth="1"/>
    <col min="10753" max="10753" width="9" style="533" bestFit="1" customWidth="1"/>
    <col min="10754" max="10754" width="67.33203125" style="533" bestFit="1" customWidth="1"/>
    <col min="10755" max="10755" width="13" style="533" customWidth="1"/>
    <col min="10756" max="10762" width="5.6640625" style="533" customWidth="1"/>
    <col min="10763" max="10763" width="8.88671875" style="533"/>
    <col min="10764" max="10764" width="16.88671875" style="533" bestFit="1" customWidth="1"/>
    <col min="10765" max="10765" width="22.44140625" style="533" bestFit="1" customWidth="1"/>
    <col min="10766" max="11007" width="8.88671875" style="533"/>
    <col min="11008" max="11008" width="1.44140625" style="533" customWidth="1"/>
    <col min="11009" max="11009" width="9" style="533" bestFit="1" customWidth="1"/>
    <col min="11010" max="11010" width="67.33203125" style="533" bestFit="1" customWidth="1"/>
    <col min="11011" max="11011" width="13" style="533" customWidth="1"/>
    <col min="11012" max="11018" width="5.6640625" style="533" customWidth="1"/>
    <col min="11019" max="11019" width="8.88671875" style="533"/>
    <col min="11020" max="11020" width="16.88671875" style="533" bestFit="1" customWidth="1"/>
    <col min="11021" max="11021" width="22.44140625" style="533" bestFit="1" customWidth="1"/>
    <col min="11022" max="11263" width="8.88671875" style="533"/>
    <col min="11264" max="11264" width="1.44140625" style="533" customWidth="1"/>
    <col min="11265" max="11265" width="9" style="533" bestFit="1" customWidth="1"/>
    <col min="11266" max="11266" width="67.33203125" style="533" bestFit="1" customWidth="1"/>
    <col min="11267" max="11267" width="13" style="533" customWidth="1"/>
    <col min="11268" max="11274" width="5.6640625" style="533" customWidth="1"/>
    <col min="11275" max="11275" width="8.88671875" style="533"/>
    <col min="11276" max="11276" width="16.88671875" style="533" bestFit="1" customWidth="1"/>
    <col min="11277" max="11277" width="22.44140625" style="533" bestFit="1" customWidth="1"/>
    <col min="11278" max="11519" width="8.88671875" style="533"/>
    <col min="11520" max="11520" width="1.44140625" style="533" customWidth="1"/>
    <col min="11521" max="11521" width="9" style="533" bestFit="1" customWidth="1"/>
    <col min="11522" max="11522" width="67.33203125" style="533" bestFit="1" customWidth="1"/>
    <col min="11523" max="11523" width="13" style="533" customWidth="1"/>
    <col min="11524" max="11530" width="5.6640625" style="533" customWidth="1"/>
    <col min="11531" max="11531" width="8.88671875" style="533"/>
    <col min="11532" max="11532" width="16.88671875" style="533" bestFit="1" customWidth="1"/>
    <col min="11533" max="11533" width="22.44140625" style="533" bestFit="1" customWidth="1"/>
    <col min="11534" max="11775" width="8.88671875" style="533"/>
    <col min="11776" max="11776" width="1.44140625" style="533" customWidth="1"/>
    <col min="11777" max="11777" width="9" style="533" bestFit="1" customWidth="1"/>
    <col min="11778" max="11778" width="67.33203125" style="533" bestFit="1" customWidth="1"/>
    <col min="11779" max="11779" width="13" style="533" customWidth="1"/>
    <col min="11780" max="11786" width="5.6640625" style="533" customWidth="1"/>
    <col min="11787" max="11787" width="8.88671875" style="533"/>
    <col min="11788" max="11788" width="16.88671875" style="533" bestFit="1" customWidth="1"/>
    <col min="11789" max="11789" width="22.44140625" style="533" bestFit="1" customWidth="1"/>
    <col min="11790" max="12031" width="8.88671875" style="533"/>
    <col min="12032" max="12032" width="1.44140625" style="533" customWidth="1"/>
    <col min="12033" max="12033" width="9" style="533" bestFit="1" customWidth="1"/>
    <col min="12034" max="12034" width="67.33203125" style="533" bestFit="1" customWidth="1"/>
    <col min="12035" max="12035" width="13" style="533" customWidth="1"/>
    <col min="12036" max="12042" width="5.6640625" style="533" customWidth="1"/>
    <col min="12043" max="12043" width="8.88671875" style="533"/>
    <col min="12044" max="12044" width="16.88671875" style="533" bestFit="1" customWidth="1"/>
    <col min="12045" max="12045" width="22.44140625" style="533" bestFit="1" customWidth="1"/>
    <col min="12046" max="12287" width="8.88671875" style="533"/>
    <col min="12288" max="12288" width="1.44140625" style="533" customWidth="1"/>
    <col min="12289" max="12289" width="9" style="533" bestFit="1" customWidth="1"/>
    <col min="12290" max="12290" width="67.33203125" style="533" bestFit="1" customWidth="1"/>
    <col min="12291" max="12291" width="13" style="533" customWidth="1"/>
    <col min="12292" max="12298" width="5.6640625" style="533" customWidth="1"/>
    <col min="12299" max="12299" width="8.88671875" style="533"/>
    <col min="12300" max="12300" width="16.88671875" style="533" bestFit="1" customWidth="1"/>
    <col min="12301" max="12301" width="22.44140625" style="533" bestFit="1" customWidth="1"/>
    <col min="12302" max="12543" width="8.88671875" style="533"/>
    <col min="12544" max="12544" width="1.44140625" style="533" customWidth="1"/>
    <col min="12545" max="12545" width="9" style="533" bestFit="1" customWidth="1"/>
    <col min="12546" max="12546" width="67.33203125" style="533" bestFit="1" customWidth="1"/>
    <col min="12547" max="12547" width="13" style="533" customWidth="1"/>
    <col min="12548" max="12554" width="5.6640625" style="533" customWidth="1"/>
    <col min="12555" max="12555" width="8.88671875" style="533"/>
    <col min="12556" max="12556" width="16.88671875" style="533" bestFit="1" customWidth="1"/>
    <col min="12557" max="12557" width="22.44140625" style="533" bestFit="1" customWidth="1"/>
    <col min="12558" max="12799" width="8.88671875" style="533"/>
    <col min="12800" max="12800" width="1.44140625" style="533" customWidth="1"/>
    <col min="12801" max="12801" width="9" style="533" bestFit="1" customWidth="1"/>
    <col min="12802" max="12802" width="67.33203125" style="533" bestFit="1" customWidth="1"/>
    <col min="12803" max="12803" width="13" style="533" customWidth="1"/>
    <col min="12804" max="12810" width="5.6640625" style="533" customWidth="1"/>
    <col min="12811" max="12811" width="8.88671875" style="533"/>
    <col min="12812" max="12812" width="16.88671875" style="533" bestFit="1" customWidth="1"/>
    <col min="12813" max="12813" width="22.44140625" style="533" bestFit="1" customWidth="1"/>
    <col min="12814" max="13055" width="8.88671875" style="533"/>
    <col min="13056" max="13056" width="1.44140625" style="533" customWidth="1"/>
    <col min="13057" max="13057" width="9" style="533" bestFit="1" customWidth="1"/>
    <col min="13058" max="13058" width="67.33203125" style="533" bestFit="1" customWidth="1"/>
    <col min="13059" max="13059" width="13" style="533" customWidth="1"/>
    <col min="13060" max="13066" width="5.6640625" style="533" customWidth="1"/>
    <col min="13067" max="13067" width="8.88671875" style="533"/>
    <col min="13068" max="13068" width="16.88671875" style="533" bestFit="1" customWidth="1"/>
    <col min="13069" max="13069" width="22.44140625" style="533" bestFit="1" customWidth="1"/>
    <col min="13070" max="13311" width="8.88671875" style="533"/>
    <col min="13312" max="13312" width="1.44140625" style="533" customWidth="1"/>
    <col min="13313" max="13313" width="9" style="533" bestFit="1" customWidth="1"/>
    <col min="13314" max="13314" width="67.33203125" style="533" bestFit="1" customWidth="1"/>
    <col min="13315" max="13315" width="13" style="533" customWidth="1"/>
    <col min="13316" max="13322" width="5.6640625" style="533" customWidth="1"/>
    <col min="13323" max="13323" width="8.88671875" style="533"/>
    <col min="13324" max="13324" width="16.88671875" style="533" bestFit="1" customWidth="1"/>
    <col min="13325" max="13325" width="22.44140625" style="533" bestFit="1" customWidth="1"/>
    <col min="13326" max="13567" width="8.88671875" style="533"/>
    <col min="13568" max="13568" width="1.44140625" style="533" customWidth="1"/>
    <col min="13569" max="13569" width="9" style="533" bestFit="1" customWidth="1"/>
    <col min="13570" max="13570" width="67.33203125" style="533" bestFit="1" customWidth="1"/>
    <col min="13571" max="13571" width="13" style="533" customWidth="1"/>
    <col min="13572" max="13578" width="5.6640625" style="533" customWidth="1"/>
    <col min="13579" max="13579" width="8.88671875" style="533"/>
    <col min="13580" max="13580" width="16.88671875" style="533" bestFit="1" customWidth="1"/>
    <col min="13581" max="13581" width="22.44140625" style="533" bestFit="1" customWidth="1"/>
    <col min="13582" max="13823" width="8.88671875" style="533"/>
    <col min="13824" max="13824" width="1.44140625" style="533" customWidth="1"/>
    <col min="13825" max="13825" width="9" style="533" bestFit="1" customWidth="1"/>
    <col min="13826" max="13826" width="67.33203125" style="533" bestFit="1" customWidth="1"/>
    <col min="13827" max="13827" width="13" style="533" customWidth="1"/>
    <col min="13828" max="13834" width="5.6640625" style="533" customWidth="1"/>
    <col min="13835" max="13835" width="8.88671875" style="533"/>
    <col min="13836" max="13836" width="16.88671875" style="533" bestFit="1" customWidth="1"/>
    <col min="13837" max="13837" width="22.44140625" style="533" bestFit="1" customWidth="1"/>
    <col min="13838" max="14079" width="8.88671875" style="533"/>
    <col min="14080" max="14080" width="1.44140625" style="533" customWidth="1"/>
    <col min="14081" max="14081" width="9" style="533" bestFit="1" customWidth="1"/>
    <col min="14082" max="14082" width="67.33203125" style="533" bestFit="1" customWidth="1"/>
    <col min="14083" max="14083" width="13" style="533" customWidth="1"/>
    <col min="14084" max="14090" width="5.6640625" style="533" customWidth="1"/>
    <col min="14091" max="14091" width="8.88671875" style="533"/>
    <col min="14092" max="14092" width="16.88671875" style="533" bestFit="1" customWidth="1"/>
    <col min="14093" max="14093" width="22.44140625" style="533" bestFit="1" customWidth="1"/>
    <col min="14094" max="14335" width="8.88671875" style="533"/>
    <col min="14336" max="14336" width="1.44140625" style="533" customWidth="1"/>
    <col min="14337" max="14337" width="9" style="533" bestFit="1" customWidth="1"/>
    <col min="14338" max="14338" width="67.33203125" style="533" bestFit="1" customWidth="1"/>
    <col min="14339" max="14339" width="13" style="533" customWidth="1"/>
    <col min="14340" max="14346" width="5.6640625" style="533" customWidth="1"/>
    <col min="14347" max="14347" width="8.88671875" style="533"/>
    <col min="14348" max="14348" width="16.88671875" style="533" bestFit="1" customWidth="1"/>
    <col min="14349" max="14349" width="22.44140625" style="533" bestFit="1" customWidth="1"/>
    <col min="14350" max="14591" width="8.88671875" style="533"/>
    <col min="14592" max="14592" width="1.44140625" style="533" customWidth="1"/>
    <col min="14593" max="14593" width="9" style="533" bestFit="1" customWidth="1"/>
    <col min="14594" max="14594" width="67.33203125" style="533" bestFit="1" customWidth="1"/>
    <col min="14595" max="14595" width="13" style="533" customWidth="1"/>
    <col min="14596" max="14602" width="5.6640625" style="533" customWidth="1"/>
    <col min="14603" max="14603" width="8.88671875" style="533"/>
    <col min="14604" max="14604" width="16.88671875" style="533" bestFit="1" customWidth="1"/>
    <col min="14605" max="14605" width="22.44140625" style="533" bestFit="1" customWidth="1"/>
    <col min="14606" max="14847" width="8.88671875" style="533"/>
    <col min="14848" max="14848" width="1.44140625" style="533" customWidth="1"/>
    <col min="14849" max="14849" width="9" style="533" bestFit="1" customWidth="1"/>
    <col min="14850" max="14850" width="67.33203125" style="533" bestFit="1" customWidth="1"/>
    <col min="14851" max="14851" width="13" style="533" customWidth="1"/>
    <col min="14852" max="14858" width="5.6640625" style="533" customWidth="1"/>
    <col min="14859" max="14859" width="8.88671875" style="533"/>
    <col min="14860" max="14860" width="16.88671875" style="533" bestFit="1" customWidth="1"/>
    <col min="14861" max="14861" width="22.44140625" style="533" bestFit="1" customWidth="1"/>
    <col min="14862" max="15103" width="8.88671875" style="533"/>
    <col min="15104" max="15104" width="1.44140625" style="533" customWidth="1"/>
    <col min="15105" max="15105" width="9" style="533" bestFit="1" customWidth="1"/>
    <col min="15106" max="15106" width="67.33203125" style="533" bestFit="1" customWidth="1"/>
    <col min="15107" max="15107" width="13" style="533" customWidth="1"/>
    <col min="15108" max="15114" width="5.6640625" style="533" customWidth="1"/>
    <col min="15115" max="15115" width="8.88671875" style="533"/>
    <col min="15116" max="15116" width="16.88671875" style="533" bestFit="1" customWidth="1"/>
    <col min="15117" max="15117" width="22.44140625" style="533" bestFit="1" customWidth="1"/>
    <col min="15118" max="15359" width="8.88671875" style="533"/>
    <col min="15360" max="15360" width="1.44140625" style="533" customWidth="1"/>
    <col min="15361" max="15361" width="9" style="533" bestFit="1" customWidth="1"/>
    <col min="15362" max="15362" width="67.33203125" style="533" bestFit="1" customWidth="1"/>
    <col min="15363" max="15363" width="13" style="533" customWidth="1"/>
    <col min="15364" max="15370" width="5.6640625" style="533" customWidth="1"/>
    <col min="15371" max="15371" width="8.88671875" style="533"/>
    <col min="15372" max="15372" width="16.88671875" style="533" bestFit="1" customWidth="1"/>
    <col min="15373" max="15373" width="22.44140625" style="533" bestFit="1" customWidth="1"/>
    <col min="15374" max="15615" width="8.88671875" style="533"/>
    <col min="15616" max="15616" width="1.44140625" style="533" customWidth="1"/>
    <col min="15617" max="15617" width="9" style="533" bestFit="1" customWidth="1"/>
    <col min="15618" max="15618" width="67.33203125" style="533" bestFit="1" customWidth="1"/>
    <col min="15619" max="15619" width="13" style="533" customWidth="1"/>
    <col min="15620" max="15626" width="5.6640625" style="533" customWidth="1"/>
    <col min="15627" max="15627" width="8.88671875" style="533"/>
    <col min="15628" max="15628" width="16.88671875" style="533" bestFit="1" customWidth="1"/>
    <col min="15629" max="15629" width="22.44140625" style="533" bestFit="1" customWidth="1"/>
    <col min="15630" max="15871" width="8.88671875" style="533"/>
    <col min="15872" max="15872" width="1.44140625" style="533" customWidth="1"/>
    <col min="15873" max="15873" width="9" style="533" bestFit="1" customWidth="1"/>
    <col min="15874" max="15874" width="67.33203125" style="533" bestFit="1" customWidth="1"/>
    <col min="15875" max="15875" width="13" style="533" customWidth="1"/>
    <col min="15876" max="15882" width="5.6640625" style="533" customWidth="1"/>
    <col min="15883" max="15883" width="8.88671875" style="533"/>
    <col min="15884" max="15884" width="16.88671875" style="533" bestFit="1" customWidth="1"/>
    <col min="15885" max="15885" width="22.44140625" style="533" bestFit="1" customWidth="1"/>
    <col min="15886" max="16127" width="8.88671875" style="533"/>
    <col min="16128" max="16128" width="1.44140625" style="533" customWidth="1"/>
    <col min="16129" max="16129" width="9" style="533" bestFit="1" customWidth="1"/>
    <col min="16130" max="16130" width="67.33203125" style="533" bestFit="1" customWidth="1"/>
    <col min="16131" max="16131" width="13" style="533" customWidth="1"/>
    <col min="16132" max="16138" width="5.6640625" style="533" customWidth="1"/>
    <col min="16139" max="16139" width="8.88671875" style="533"/>
    <col min="16140" max="16140" width="16.88671875" style="533" bestFit="1" customWidth="1"/>
    <col min="16141" max="16141" width="22.44140625" style="533" bestFit="1" customWidth="1"/>
    <col min="16142" max="16384" width="8.88671875" style="533"/>
  </cols>
  <sheetData>
    <row r="2" spans="2:10" ht="19.2" x14ac:dyDescent="0.35">
      <c r="B2" s="602" t="s">
        <v>985</v>
      </c>
    </row>
    <row r="3" spans="2:10" ht="13.8" thickBot="1" x14ac:dyDescent="0.3"/>
    <row r="4" spans="2:10" ht="13.8" thickBot="1" x14ac:dyDescent="0.3">
      <c r="D4" s="712" t="s">
        <v>984</v>
      </c>
      <c r="E4" s="713"/>
      <c r="F4" s="713"/>
      <c r="G4" s="713"/>
      <c r="H4" s="713"/>
      <c r="I4" s="713"/>
      <c r="J4" s="714"/>
    </row>
    <row r="5" spans="2:10" ht="16.8" thickTop="1" thickBot="1" x14ac:dyDescent="0.35">
      <c r="B5" s="601" t="s">
        <v>0</v>
      </c>
      <c r="C5" s="600" t="s">
        <v>983</v>
      </c>
      <c r="D5" s="599" t="s">
        <v>982</v>
      </c>
      <c r="E5" s="599" t="s">
        <v>981</v>
      </c>
      <c r="F5" s="599" t="s">
        <v>980</v>
      </c>
      <c r="G5" s="599" t="s">
        <v>979</v>
      </c>
      <c r="H5" s="533"/>
      <c r="I5" s="533"/>
      <c r="J5" s="533"/>
    </row>
    <row r="6" spans="2:10" ht="15.9" customHeight="1" x14ac:dyDescent="0.25">
      <c r="B6" s="592">
        <v>1</v>
      </c>
      <c r="C6" s="591" t="s">
        <v>978</v>
      </c>
      <c r="D6" s="598" t="s">
        <v>802</v>
      </c>
      <c r="E6" s="590" t="s">
        <v>801</v>
      </c>
      <c r="F6" s="590" t="s">
        <v>801</v>
      </c>
      <c r="G6" s="590" t="s">
        <v>935</v>
      </c>
      <c r="H6" s="533"/>
      <c r="I6" s="533"/>
      <c r="J6" s="533"/>
    </row>
    <row r="7" spans="2:10" ht="15.9" customHeight="1" x14ac:dyDescent="0.25">
      <c r="B7" s="592" t="s">
        <v>11</v>
      </c>
      <c r="C7" s="591" t="s">
        <v>977</v>
      </c>
      <c r="D7" s="598" t="s">
        <v>802</v>
      </c>
      <c r="E7" s="590" t="s">
        <v>801</v>
      </c>
      <c r="F7" s="590" t="s">
        <v>801</v>
      </c>
      <c r="G7" s="590" t="s">
        <v>935</v>
      </c>
      <c r="H7" s="533"/>
      <c r="I7" s="533"/>
      <c r="J7" s="533"/>
    </row>
    <row r="8" spans="2:10" ht="15.9" customHeight="1" x14ac:dyDescent="0.25">
      <c r="B8" s="592" t="s">
        <v>14</v>
      </c>
      <c r="C8" s="591" t="s">
        <v>976</v>
      </c>
      <c r="D8" s="598" t="s">
        <v>802</v>
      </c>
      <c r="E8" s="590" t="s">
        <v>801</v>
      </c>
      <c r="F8" s="590" t="s">
        <v>801</v>
      </c>
      <c r="G8" s="590" t="s">
        <v>935</v>
      </c>
      <c r="H8" s="533"/>
      <c r="I8" s="533"/>
      <c r="J8" s="533"/>
    </row>
    <row r="9" spans="2:10" ht="15.9" customHeight="1" x14ac:dyDescent="0.25">
      <c r="B9" s="592" t="s">
        <v>15</v>
      </c>
      <c r="C9" s="591" t="s">
        <v>975</v>
      </c>
      <c r="D9" s="598" t="s">
        <v>802</v>
      </c>
      <c r="E9" s="590" t="s">
        <v>801</v>
      </c>
      <c r="F9" s="590" t="s">
        <v>935</v>
      </c>
      <c r="G9" s="590" t="s">
        <v>935</v>
      </c>
      <c r="H9" s="533"/>
      <c r="I9" s="533"/>
      <c r="J9" s="533"/>
    </row>
    <row r="10" spans="2:10" ht="15.9" customHeight="1" x14ac:dyDescent="0.25">
      <c r="B10" s="592" t="s">
        <v>974</v>
      </c>
      <c r="C10" s="591" t="s">
        <v>973</v>
      </c>
      <c r="D10" s="598" t="s">
        <v>935</v>
      </c>
      <c r="E10" s="590" t="s">
        <v>943</v>
      </c>
      <c r="F10" s="590" t="s">
        <v>801</v>
      </c>
      <c r="G10" s="590" t="s">
        <v>801</v>
      </c>
      <c r="H10" s="533"/>
      <c r="I10" s="533"/>
      <c r="J10" s="533"/>
    </row>
    <row r="11" spans="2:10" ht="15.9" customHeight="1" x14ac:dyDescent="0.25">
      <c r="B11" s="592" t="s">
        <v>972</v>
      </c>
      <c r="C11" s="591" t="s">
        <v>971</v>
      </c>
      <c r="D11" s="598" t="s">
        <v>801</v>
      </c>
      <c r="E11" s="590" t="s">
        <v>943</v>
      </c>
      <c r="F11" s="590" t="s">
        <v>801</v>
      </c>
      <c r="G11" s="590" t="s">
        <v>935</v>
      </c>
      <c r="H11" s="533"/>
      <c r="I11" s="533"/>
      <c r="J11" s="533"/>
    </row>
    <row r="12" spans="2:10" ht="15.9" customHeight="1" x14ac:dyDescent="0.25">
      <c r="B12" s="592" t="s">
        <v>970</v>
      </c>
      <c r="C12" s="591" t="s">
        <v>969</v>
      </c>
      <c r="D12" s="598" t="s">
        <v>935</v>
      </c>
      <c r="E12" s="590" t="s">
        <v>801</v>
      </c>
      <c r="F12" s="590" t="s">
        <v>943</v>
      </c>
      <c r="G12" s="590" t="s">
        <v>935</v>
      </c>
      <c r="H12" s="533"/>
      <c r="I12" s="533"/>
      <c r="J12" s="533"/>
    </row>
    <row r="13" spans="2:10" ht="15.9" customHeight="1" x14ac:dyDescent="0.25">
      <c r="B13" s="592" t="s">
        <v>968</v>
      </c>
      <c r="C13" s="591" t="s">
        <v>967</v>
      </c>
      <c r="D13" s="598" t="s">
        <v>802</v>
      </c>
      <c r="E13" s="590" t="s">
        <v>801</v>
      </c>
      <c r="F13" s="590" t="s">
        <v>801</v>
      </c>
      <c r="G13" s="590" t="s">
        <v>935</v>
      </c>
      <c r="H13" s="533"/>
      <c r="I13" s="533"/>
      <c r="J13" s="533"/>
    </row>
    <row r="14" spans="2:10" ht="15.9" customHeight="1" x14ac:dyDescent="0.25">
      <c r="B14" s="592" t="s">
        <v>966</v>
      </c>
      <c r="C14" s="591" t="s">
        <v>965</v>
      </c>
      <c r="D14" s="598" t="s">
        <v>802</v>
      </c>
      <c r="E14" s="590" t="s">
        <v>801</v>
      </c>
      <c r="F14" s="590" t="s">
        <v>801</v>
      </c>
      <c r="G14" s="590" t="s">
        <v>935</v>
      </c>
      <c r="H14" s="533"/>
      <c r="I14" s="533"/>
      <c r="J14" s="533"/>
    </row>
    <row r="15" spans="2:10" ht="15.9" customHeight="1" x14ac:dyDescent="0.25">
      <c r="B15" s="592" t="s">
        <v>964</v>
      </c>
      <c r="C15" s="591" t="s">
        <v>963</v>
      </c>
      <c r="D15" s="598" t="s">
        <v>802</v>
      </c>
      <c r="E15" s="590" t="s">
        <v>801</v>
      </c>
      <c r="F15" s="590" t="s">
        <v>935</v>
      </c>
      <c r="G15" s="590" t="s">
        <v>801</v>
      </c>
      <c r="H15" s="533"/>
      <c r="I15" s="533"/>
      <c r="J15" s="533"/>
    </row>
    <row r="16" spans="2:10" ht="15.9" customHeight="1" x14ac:dyDescent="0.25">
      <c r="B16" s="592" t="s">
        <v>962</v>
      </c>
      <c r="C16" s="591" t="s">
        <v>961</v>
      </c>
      <c r="D16" s="598" t="s">
        <v>935</v>
      </c>
      <c r="E16" s="590" t="s">
        <v>801</v>
      </c>
      <c r="F16" s="590" t="s">
        <v>935</v>
      </c>
      <c r="G16" s="590" t="s">
        <v>943</v>
      </c>
      <c r="H16" s="533"/>
      <c r="I16" s="533"/>
      <c r="J16" s="533"/>
    </row>
    <row r="17" spans="2:18" ht="15.9" customHeight="1" x14ac:dyDescent="0.25">
      <c r="B17" s="592" t="s">
        <v>960</v>
      </c>
      <c r="C17" s="591" t="s">
        <v>959</v>
      </c>
      <c r="D17" s="598" t="s">
        <v>802</v>
      </c>
      <c r="E17" s="590" t="s">
        <v>801</v>
      </c>
      <c r="F17" s="590" t="s">
        <v>801</v>
      </c>
      <c r="G17" s="590" t="s">
        <v>801</v>
      </c>
      <c r="H17" s="533"/>
      <c r="I17" s="533"/>
      <c r="J17" s="533"/>
    </row>
    <row r="18" spans="2:18" ht="15.9" customHeight="1" x14ac:dyDescent="0.25">
      <c r="B18" s="592" t="s">
        <v>958</v>
      </c>
      <c r="C18" s="591" t="s">
        <v>957</v>
      </c>
      <c r="D18" s="598" t="s">
        <v>802</v>
      </c>
      <c r="E18" s="590" t="s">
        <v>801</v>
      </c>
      <c r="F18" s="590" t="s">
        <v>801</v>
      </c>
      <c r="G18" s="590" t="s">
        <v>935</v>
      </c>
      <c r="H18" s="533"/>
      <c r="I18" s="533"/>
      <c r="J18" s="533"/>
    </row>
    <row r="19" spans="2:18" ht="15.9" customHeight="1" thickBot="1" x14ac:dyDescent="0.3">
      <c r="B19" s="592" t="s">
        <v>956</v>
      </c>
      <c r="C19" s="591" t="s">
        <v>955</v>
      </c>
      <c r="D19" s="598" t="s">
        <v>802</v>
      </c>
      <c r="E19" s="590" t="s">
        <v>801</v>
      </c>
      <c r="F19" s="590" t="s">
        <v>801</v>
      </c>
      <c r="G19" s="590" t="s">
        <v>935</v>
      </c>
      <c r="H19" s="533"/>
      <c r="I19" s="533"/>
      <c r="J19" s="533"/>
    </row>
    <row r="20" spans="2:18" ht="16.2" thickBot="1" x14ac:dyDescent="0.3">
      <c r="B20" s="592" t="s">
        <v>954</v>
      </c>
      <c r="C20" s="591" t="s">
        <v>953</v>
      </c>
      <c r="D20" s="598" t="s">
        <v>802</v>
      </c>
      <c r="E20" s="590" t="s">
        <v>801</v>
      </c>
      <c r="F20" s="590" t="s">
        <v>801</v>
      </c>
      <c r="G20" s="590" t="s">
        <v>935</v>
      </c>
      <c r="H20" s="594"/>
      <c r="I20" s="594"/>
      <c r="J20" s="594"/>
      <c r="L20" s="715" t="s">
        <v>952</v>
      </c>
      <c r="M20" s="716"/>
      <c r="R20" s="589"/>
    </row>
    <row r="21" spans="2:18" ht="16.2" thickBot="1" x14ac:dyDescent="0.3">
      <c r="B21" s="592" t="s">
        <v>951</v>
      </c>
      <c r="C21" s="591" t="s">
        <v>950</v>
      </c>
      <c r="D21" s="598" t="s">
        <v>802</v>
      </c>
      <c r="E21" s="590" t="s">
        <v>801</v>
      </c>
      <c r="F21" s="590" t="s">
        <v>801</v>
      </c>
      <c r="G21" s="590" t="s">
        <v>935</v>
      </c>
      <c r="H21" s="594"/>
      <c r="I21" s="594"/>
      <c r="J21" s="594"/>
      <c r="L21" s="596" t="s">
        <v>520</v>
      </c>
      <c r="M21" s="597" t="s">
        <v>672</v>
      </c>
      <c r="R21" s="589"/>
    </row>
    <row r="22" spans="2:18" s="589" customFormat="1" ht="24.6" thickBot="1" x14ac:dyDescent="0.3">
      <c r="B22" s="592" t="s">
        <v>949</v>
      </c>
      <c r="C22" s="591" t="s">
        <v>948</v>
      </c>
      <c r="D22" s="590" t="s">
        <v>935</v>
      </c>
      <c r="E22" s="590" t="s">
        <v>943</v>
      </c>
      <c r="F22" s="590" t="s">
        <v>801</v>
      </c>
      <c r="G22" s="590" t="s">
        <v>935</v>
      </c>
      <c r="H22" s="594"/>
      <c r="I22" s="594"/>
      <c r="J22" s="594"/>
      <c r="L22" s="596" t="s">
        <v>947</v>
      </c>
      <c r="M22" s="595" t="s">
        <v>946</v>
      </c>
      <c r="N22" s="533"/>
      <c r="O22" s="533"/>
      <c r="P22" s="533"/>
      <c r="Q22" s="533"/>
    </row>
    <row r="23" spans="2:18" s="589" customFormat="1" ht="24.6" thickBot="1" x14ac:dyDescent="0.3">
      <c r="B23" s="592" t="s">
        <v>945</v>
      </c>
      <c r="C23" s="591" t="s">
        <v>944</v>
      </c>
      <c r="D23" s="590" t="s">
        <v>935</v>
      </c>
      <c r="E23" s="590" t="s">
        <v>801</v>
      </c>
      <c r="F23" s="590" t="s">
        <v>943</v>
      </c>
      <c r="G23" s="590" t="s">
        <v>935</v>
      </c>
      <c r="H23" s="594"/>
      <c r="I23" s="594"/>
      <c r="J23" s="594"/>
      <c r="L23" s="596" t="s">
        <v>942</v>
      </c>
      <c r="M23" s="597" t="s">
        <v>941</v>
      </c>
      <c r="N23" s="533"/>
      <c r="O23" s="533"/>
      <c r="P23" s="533"/>
      <c r="Q23" s="533"/>
    </row>
    <row r="24" spans="2:18" s="589" customFormat="1" ht="24.6" thickBot="1" x14ac:dyDescent="0.3">
      <c r="B24" s="592" t="s">
        <v>940</v>
      </c>
      <c r="C24" s="591" t="s">
        <v>939</v>
      </c>
      <c r="D24" s="590" t="s">
        <v>802</v>
      </c>
      <c r="E24" s="590" t="s">
        <v>872</v>
      </c>
      <c r="F24" s="590" t="s">
        <v>801</v>
      </c>
      <c r="G24" s="590" t="s">
        <v>935</v>
      </c>
      <c r="H24" s="594"/>
      <c r="I24" s="594"/>
      <c r="J24" s="594"/>
      <c r="L24" s="596" t="s">
        <v>799</v>
      </c>
      <c r="M24" s="595" t="s">
        <v>938</v>
      </c>
      <c r="N24" s="533"/>
      <c r="O24" s="533"/>
      <c r="P24" s="533"/>
      <c r="Q24" s="533"/>
    </row>
    <row r="25" spans="2:18" s="589" customFormat="1" ht="15.6" x14ac:dyDescent="0.25">
      <c r="B25" s="592" t="s">
        <v>937</v>
      </c>
      <c r="C25" s="591" t="s">
        <v>936</v>
      </c>
      <c r="D25" s="590" t="s">
        <v>802</v>
      </c>
      <c r="E25" s="590" t="s">
        <v>801</v>
      </c>
      <c r="F25" s="590" t="s">
        <v>801</v>
      </c>
      <c r="G25" s="590" t="s">
        <v>935</v>
      </c>
      <c r="H25" s="594"/>
      <c r="I25" s="594"/>
      <c r="J25" s="594"/>
      <c r="L25" s="533"/>
      <c r="M25" s="533"/>
      <c r="N25" s="533"/>
      <c r="O25" s="533"/>
    </row>
    <row r="26" spans="2:18" s="589" customFormat="1" ht="15.6" x14ac:dyDescent="0.25">
      <c r="B26" s="592" t="s">
        <v>934</v>
      </c>
      <c r="C26" s="591" t="s">
        <v>933</v>
      </c>
      <c r="D26" s="590" t="s">
        <v>802</v>
      </c>
      <c r="E26" s="590" t="s">
        <v>801</v>
      </c>
      <c r="F26" s="590" t="s">
        <v>801</v>
      </c>
      <c r="G26" s="590" t="s">
        <v>872</v>
      </c>
      <c r="H26" s="594"/>
      <c r="I26" s="594"/>
      <c r="J26" s="594"/>
      <c r="L26" s="533"/>
      <c r="M26" s="533"/>
      <c r="N26" s="533"/>
      <c r="O26" s="533"/>
      <c r="P26" s="533"/>
    </row>
    <row r="27" spans="2:18" s="589" customFormat="1" ht="15.6" x14ac:dyDescent="0.25">
      <c r="B27" s="592" t="s">
        <v>932</v>
      </c>
      <c r="C27" s="591" t="s">
        <v>931</v>
      </c>
      <c r="D27" s="590" t="s">
        <v>802</v>
      </c>
      <c r="E27" s="590" t="s">
        <v>801</v>
      </c>
      <c r="F27" s="590" t="s">
        <v>801</v>
      </c>
      <c r="G27" s="590" t="s">
        <v>872</v>
      </c>
      <c r="H27" s="594"/>
      <c r="I27" s="594"/>
      <c r="J27" s="594"/>
      <c r="L27" s="533"/>
      <c r="M27" s="533"/>
      <c r="N27" s="533"/>
      <c r="O27" s="533"/>
      <c r="P27" s="533"/>
    </row>
    <row r="28" spans="2:18" s="589" customFormat="1" ht="15.6" x14ac:dyDescent="0.25">
      <c r="B28" s="592" t="s">
        <v>930</v>
      </c>
      <c r="C28" s="591" t="s">
        <v>929</v>
      </c>
      <c r="D28" s="590" t="s">
        <v>802</v>
      </c>
      <c r="E28" s="590" t="s">
        <v>801</v>
      </c>
      <c r="F28" s="590" t="s">
        <v>801</v>
      </c>
      <c r="G28" s="590" t="s">
        <v>872</v>
      </c>
      <c r="H28" s="594"/>
      <c r="I28" s="594"/>
      <c r="J28" s="594"/>
      <c r="L28" s="533"/>
      <c r="M28" s="533"/>
      <c r="N28" s="533"/>
      <c r="O28" s="533"/>
      <c r="P28" s="533"/>
      <c r="Q28" s="533"/>
      <c r="R28" s="533"/>
    </row>
    <row r="29" spans="2:18" ht="15.6" x14ac:dyDescent="0.25">
      <c r="B29" s="592" t="s">
        <v>928</v>
      </c>
      <c r="C29" s="591" t="s">
        <v>877</v>
      </c>
      <c r="D29" s="590" t="s">
        <v>802</v>
      </c>
      <c r="E29" s="590" t="s">
        <v>801</v>
      </c>
      <c r="F29" s="590" t="s">
        <v>801</v>
      </c>
      <c r="G29" s="590" t="s">
        <v>872</v>
      </c>
      <c r="H29" s="594"/>
      <c r="I29" s="594"/>
      <c r="J29" s="594"/>
      <c r="L29" s="539" t="s">
        <v>927</v>
      </c>
    </row>
    <row r="30" spans="2:18" ht="15.6" x14ac:dyDescent="0.25">
      <c r="B30" s="592" t="s">
        <v>926</v>
      </c>
      <c r="C30" s="591" t="s">
        <v>786</v>
      </c>
      <c r="D30" s="590" t="s">
        <v>802</v>
      </c>
      <c r="E30" s="590" t="s">
        <v>872</v>
      </c>
      <c r="F30" s="590" t="s">
        <v>801</v>
      </c>
      <c r="G30" s="590" t="s">
        <v>801</v>
      </c>
      <c r="H30" s="594"/>
      <c r="I30" s="594"/>
      <c r="J30" s="594"/>
    </row>
    <row r="31" spans="2:18" ht="15.6" x14ac:dyDescent="0.25">
      <c r="B31" s="592" t="s">
        <v>925</v>
      </c>
      <c r="C31" s="591" t="s">
        <v>924</v>
      </c>
      <c r="D31" s="590" t="s">
        <v>802</v>
      </c>
      <c r="E31" s="590" t="s">
        <v>872</v>
      </c>
      <c r="F31" s="590" t="s">
        <v>801</v>
      </c>
      <c r="G31" s="590" t="s">
        <v>801</v>
      </c>
      <c r="H31" s="594"/>
      <c r="I31" s="594"/>
      <c r="J31" s="594"/>
      <c r="L31" s="533" t="s">
        <v>923</v>
      </c>
    </row>
    <row r="32" spans="2:18" ht="15.6" x14ac:dyDescent="0.25">
      <c r="B32" s="592" t="s">
        <v>922</v>
      </c>
      <c r="C32" s="591" t="s">
        <v>921</v>
      </c>
      <c r="D32" s="590" t="s">
        <v>802</v>
      </c>
      <c r="E32" s="590" t="s">
        <v>872</v>
      </c>
      <c r="F32" s="590" t="s">
        <v>801</v>
      </c>
      <c r="G32" s="590" t="s">
        <v>801</v>
      </c>
      <c r="H32" s="594"/>
      <c r="I32" s="594"/>
      <c r="J32" s="594"/>
      <c r="L32" s="533" t="s">
        <v>920</v>
      </c>
    </row>
    <row r="33" spans="2:17" ht="15.6" x14ac:dyDescent="0.25">
      <c r="B33" s="592" t="s">
        <v>919</v>
      </c>
      <c r="C33" s="591" t="s">
        <v>918</v>
      </c>
      <c r="D33" s="590" t="s">
        <v>802</v>
      </c>
      <c r="E33" s="590" t="s">
        <v>872</v>
      </c>
      <c r="F33" s="590" t="s">
        <v>801</v>
      </c>
      <c r="G33" s="590" t="s">
        <v>801</v>
      </c>
      <c r="H33" s="594"/>
      <c r="I33" s="594"/>
      <c r="J33" s="594"/>
      <c r="L33" s="533" t="s">
        <v>917</v>
      </c>
    </row>
    <row r="34" spans="2:17" ht="15.6" x14ac:dyDescent="0.25">
      <c r="B34" s="592" t="s">
        <v>916</v>
      </c>
      <c r="C34" s="591" t="s">
        <v>915</v>
      </c>
      <c r="D34" s="590" t="s">
        <v>802</v>
      </c>
      <c r="E34" s="590" t="s">
        <v>872</v>
      </c>
      <c r="F34" s="590" t="s">
        <v>801</v>
      </c>
      <c r="G34" s="590" t="s">
        <v>801</v>
      </c>
      <c r="H34" s="594"/>
      <c r="I34" s="594"/>
      <c r="J34" s="594"/>
      <c r="L34" s="533" t="s">
        <v>914</v>
      </c>
      <c r="N34" s="589"/>
      <c r="O34" s="589"/>
      <c r="P34" s="589"/>
      <c r="Q34" s="589"/>
    </row>
    <row r="35" spans="2:17" ht="15.6" x14ac:dyDescent="0.25">
      <c r="B35" s="592" t="s">
        <v>913</v>
      </c>
      <c r="C35" s="591" t="s">
        <v>887</v>
      </c>
      <c r="D35" s="590" t="s">
        <v>802</v>
      </c>
      <c r="E35" s="590" t="s">
        <v>872</v>
      </c>
      <c r="F35" s="590" t="s">
        <v>801</v>
      </c>
      <c r="G35" s="590" t="s">
        <v>801</v>
      </c>
      <c r="H35" s="594"/>
      <c r="I35" s="594"/>
      <c r="J35" s="594"/>
      <c r="L35" s="533" t="s">
        <v>912</v>
      </c>
      <c r="N35" s="589"/>
      <c r="O35" s="589"/>
      <c r="P35" s="589"/>
      <c r="Q35" s="589"/>
    </row>
    <row r="36" spans="2:17" ht="15.6" x14ac:dyDescent="0.25">
      <c r="B36" s="592" t="s">
        <v>911</v>
      </c>
      <c r="C36" s="591" t="s">
        <v>910</v>
      </c>
      <c r="D36" s="590" t="s">
        <v>802</v>
      </c>
      <c r="E36" s="590" t="s">
        <v>872</v>
      </c>
      <c r="F36" s="590" t="s">
        <v>801</v>
      </c>
      <c r="G36" s="590" t="s">
        <v>801</v>
      </c>
      <c r="H36" s="594"/>
      <c r="I36" s="594"/>
      <c r="J36" s="594"/>
    </row>
    <row r="37" spans="2:17" ht="15.6" x14ac:dyDescent="0.25">
      <c r="B37" s="592" t="s">
        <v>909</v>
      </c>
      <c r="C37" s="591" t="s">
        <v>908</v>
      </c>
      <c r="D37" s="590" t="s">
        <v>802</v>
      </c>
      <c r="E37" s="590" t="s">
        <v>872</v>
      </c>
      <c r="F37" s="590" t="s">
        <v>801</v>
      </c>
      <c r="G37" s="590" t="s">
        <v>801</v>
      </c>
      <c r="H37" s="533"/>
      <c r="I37" s="533"/>
      <c r="J37" s="533"/>
    </row>
    <row r="38" spans="2:17" ht="15.6" x14ac:dyDescent="0.25">
      <c r="B38" s="592" t="s">
        <v>907</v>
      </c>
      <c r="C38" s="591" t="s">
        <v>906</v>
      </c>
      <c r="D38" s="590" t="s">
        <v>802</v>
      </c>
      <c r="E38" s="590" t="s">
        <v>872</v>
      </c>
      <c r="F38" s="590" t="s">
        <v>801</v>
      </c>
      <c r="G38" s="590" t="s">
        <v>801</v>
      </c>
      <c r="H38" s="533"/>
      <c r="I38" s="533"/>
      <c r="J38" s="533"/>
    </row>
    <row r="39" spans="2:17" ht="28.8" x14ac:dyDescent="0.25">
      <c r="B39" s="592" t="s">
        <v>905</v>
      </c>
      <c r="C39" s="591" t="s">
        <v>904</v>
      </c>
      <c r="D39" s="590" t="s">
        <v>802</v>
      </c>
      <c r="E39" s="590" t="s">
        <v>872</v>
      </c>
      <c r="F39" s="590" t="s">
        <v>801</v>
      </c>
      <c r="G39" s="590" t="s">
        <v>801</v>
      </c>
      <c r="H39" s="533"/>
      <c r="I39" s="533"/>
      <c r="J39" s="533"/>
    </row>
    <row r="40" spans="2:17" ht="15.6" x14ac:dyDescent="0.25">
      <c r="B40" s="592" t="s">
        <v>903</v>
      </c>
      <c r="C40" s="591" t="s">
        <v>877</v>
      </c>
      <c r="D40" s="590" t="s">
        <v>802</v>
      </c>
      <c r="E40" s="590" t="s">
        <v>872</v>
      </c>
      <c r="F40" s="590" t="s">
        <v>801</v>
      </c>
      <c r="G40" s="590" t="s">
        <v>801</v>
      </c>
      <c r="H40" s="533"/>
      <c r="I40" s="533"/>
      <c r="J40" s="533"/>
    </row>
    <row r="41" spans="2:17" ht="15.6" x14ac:dyDescent="0.25">
      <c r="B41" s="592" t="s">
        <v>902</v>
      </c>
      <c r="C41" s="591" t="s">
        <v>901</v>
      </c>
      <c r="D41" s="590" t="s">
        <v>802</v>
      </c>
      <c r="E41" s="590" t="s">
        <v>872</v>
      </c>
      <c r="F41" s="590" t="s">
        <v>801</v>
      </c>
      <c r="G41" s="590" t="s">
        <v>801</v>
      </c>
      <c r="H41" s="533"/>
      <c r="I41" s="533"/>
      <c r="J41" s="533"/>
    </row>
    <row r="42" spans="2:17" ht="15.6" x14ac:dyDescent="0.25">
      <c r="B42" s="592" t="s">
        <v>900</v>
      </c>
      <c r="C42" s="591" t="s">
        <v>899</v>
      </c>
      <c r="D42" s="590" t="s">
        <v>802</v>
      </c>
      <c r="E42" s="590" t="s">
        <v>872</v>
      </c>
      <c r="F42" s="590" t="s">
        <v>801</v>
      </c>
      <c r="G42" s="590" t="s">
        <v>801</v>
      </c>
      <c r="H42" s="533"/>
      <c r="I42" s="533"/>
      <c r="J42" s="533"/>
    </row>
    <row r="43" spans="2:17" ht="15.6" x14ac:dyDescent="0.25">
      <c r="B43" s="592" t="s">
        <v>898</v>
      </c>
      <c r="C43" s="591" t="s">
        <v>897</v>
      </c>
      <c r="D43" s="590" t="s">
        <v>802</v>
      </c>
      <c r="E43" s="593" t="s">
        <v>801</v>
      </c>
      <c r="F43" s="593" t="s">
        <v>872</v>
      </c>
      <c r="G43" s="590" t="s">
        <v>801</v>
      </c>
      <c r="H43" s="533"/>
      <c r="I43" s="533"/>
      <c r="J43" s="533"/>
    </row>
    <row r="44" spans="2:17" ht="15.6" x14ac:dyDescent="0.25">
      <c r="B44" s="592" t="s">
        <v>896</v>
      </c>
      <c r="C44" s="591" t="s">
        <v>895</v>
      </c>
      <c r="D44" s="590" t="s">
        <v>802</v>
      </c>
      <c r="E44" s="593" t="s">
        <v>801</v>
      </c>
      <c r="F44" s="593" t="s">
        <v>872</v>
      </c>
      <c r="G44" s="590" t="s">
        <v>801</v>
      </c>
      <c r="H44" s="533"/>
      <c r="I44" s="533"/>
      <c r="J44" s="533"/>
    </row>
    <row r="45" spans="2:17" ht="28.8" x14ac:dyDescent="0.25">
      <c r="B45" s="592" t="s">
        <v>894</v>
      </c>
      <c r="C45" s="591" t="s">
        <v>893</v>
      </c>
      <c r="D45" s="590" t="s">
        <v>802</v>
      </c>
      <c r="E45" s="593" t="s">
        <v>801</v>
      </c>
      <c r="F45" s="593" t="s">
        <v>872</v>
      </c>
      <c r="G45" s="590" t="s">
        <v>801</v>
      </c>
      <c r="H45" s="533"/>
      <c r="I45" s="533"/>
      <c r="J45" s="533"/>
    </row>
    <row r="46" spans="2:17" ht="15.6" x14ac:dyDescent="0.25">
      <c r="B46" s="592" t="s">
        <v>892</v>
      </c>
      <c r="C46" s="591" t="s">
        <v>891</v>
      </c>
      <c r="D46" s="590" t="s">
        <v>802</v>
      </c>
      <c r="E46" s="593" t="s">
        <v>801</v>
      </c>
      <c r="F46" s="593" t="s">
        <v>872</v>
      </c>
      <c r="G46" s="590" t="s">
        <v>801</v>
      </c>
      <c r="H46" s="533"/>
      <c r="I46" s="533"/>
      <c r="J46" s="533"/>
    </row>
    <row r="47" spans="2:17" ht="15.6" x14ac:dyDescent="0.25">
      <c r="B47" s="592" t="s">
        <v>890</v>
      </c>
      <c r="C47" s="591" t="s">
        <v>889</v>
      </c>
      <c r="D47" s="590" t="s">
        <v>802</v>
      </c>
      <c r="E47" s="593" t="s">
        <v>801</v>
      </c>
      <c r="F47" s="593" t="s">
        <v>872</v>
      </c>
      <c r="G47" s="590" t="s">
        <v>801</v>
      </c>
      <c r="H47" s="533"/>
      <c r="I47" s="533"/>
      <c r="J47" s="533"/>
    </row>
    <row r="48" spans="2:17" ht="15.6" x14ac:dyDescent="0.25">
      <c r="B48" s="592" t="s">
        <v>888</v>
      </c>
      <c r="C48" s="591" t="s">
        <v>887</v>
      </c>
      <c r="D48" s="590" t="s">
        <v>802</v>
      </c>
      <c r="E48" s="593" t="s">
        <v>801</v>
      </c>
      <c r="F48" s="593" t="s">
        <v>872</v>
      </c>
      <c r="G48" s="590" t="s">
        <v>801</v>
      </c>
      <c r="H48" s="533"/>
      <c r="I48" s="533"/>
      <c r="J48" s="533"/>
    </row>
    <row r="49" spans="2:10" ht="15.6" x14ac:dyDescent="0.25">
      <c r="B49" s="592" t="s">
        <v>886</v>
      </c>
      <c r="C49" s="591" t="s">
        <v>885</v>
      </c>
      <c r="D49" s="590" t="s">
        <v>802</v>
      </c>
      <c r="E49" s="593" t="s">
        <v>801</v>
      </c>
      <c r="F49" s="593" t="s">
        <v>872</v>
      </c>
      <c r="G49" s="590" t="s">
        <v>801</v>
      </c>
      <c r="H49" s="533"/>
      <c r="I49" s="533"/>
      <c r="J49" s="533"/>
    </row>
    <row r="50" spans="2:10" ht="28.8" x14ac:dyDescent="0.25">
      <c r="B50" s="592" t="s">
        <v>884</v>
      </c>
      <c r="C50" s="591" t="s">
        <v>883</v>
      </c>
      <c r="D50" s="590" t="s">
        <v>802</v>
      </c>
      <c r="E50" s="593" t="s">
        <v>801</v>
      </c>
      <c r="F50" s="593" t="s">
        <v>872</v>
      </c>
      <c r="G50" s="590" t="s">
        <v>801</v>
      </c>
      <c r="H50" s="533"/>
      <c r="I50" s="533"/>
      <c r="J50" s="533"/>
    </row>
    <row r="51" spans="2:10" ht="28.8" x14ac:dyDescent="0.25">
      <c r="B51" s="592" t="s">
        <v>882</v>
      </c>
      <c r="C51" s="591" t="s">
        <v>881</v>
      </c>
      <c r="D51" s="590" t="s">
        <v>802</v>
      </c>
      <c r="E51" s="593" t="s">
        <v>801</v>
      </c>
      <c r="F51" s="593" t="s">
        <v>872</v>
      </c>
      <c r="G51" s="590" t="s">
        <v>801</v>
      </c>
      <c r="H51" s="533"/>
      <c r="I51" s="533"/>
      <c r="J51" s="533"/>
    </row>
    <row r="52" spans="2:10" ht="15.6" x14ac:dyDescent="0.25">
      <c r="B52" s="592" t="s">
        <v>880</v>
      </c>
      <c r="C52" s="591" t="s">
        <v>879</v>
      </c>
      <c r="D52" s="590" t="s">
        <v>802</v>
      </c>
      <c r="E52" s="593" t="s">
        <v>801</v>
      </c>
      <c r="F52" s="593" t="s">
        <v>872</v>
      </c>
      <c r="G52" s="590" t="s">
        <v>801</v>
      </c>
      <c r="H52" s="533"/>
      <c r="I52" s="533"/>
      <c r="J52" s="533"/>
    </row>
    <row r="53" spans="2:10" ht="15.6" x14ac:dyDescent="0.25">
      <c r="B53" s="592" t="s">
        <v>878</v>
      </c>
      <c r="C53" s="591" t="s">
        <v>877</v>
      </c>
      <c r="D53" s="590" t="s">
        <v>802</v>
      </c>
      <c r="E53" s="593" t="s">
        <v>801</v>
      </c>
      <c r="F53" s="593" t="s">
        <v>872</v>
      </c>
      <c r="G53" s="590" t="s">
        <v>801</v>
      </c>
      <c r="H53" s="533"/>
      <c r="I53" s="533"/>
      <c r="J53" s="533"/>
    </row>
    <row r="54" spans="2:10" ht="15.6" x14ac:dyDescent="0.25">
      <c r="B54" s="592" t="s">
        <v>876</v>
      </c>
      <c r="C54" s="591" t="s">
        <v>875</v>
      </c>
      <c r="D54" s="590" t="s">
        <v>802</v>
      </c>
      <c r="E54" s="593" t="s">
        <v>801</v>
      </c>
      <c r="F54" s="593" t="s">
        <v>872</v>
      </c>
      <c r="G54" s="590" t="s">
        <v>801</v>
      </c>
      <c r="H54" s="533"/>
      <c r="I54" s="533"/>
      <c r="J54" s="533"/>
    </row>
    <row r="55" spans="2:10" ht="15.6" x14ac:dyDescent="0.25">
      <c r="B55" s="592" t="s">
        <v>874</v>
      </c>
      <c r="C55" s="591" t="s">
        <v>873</v>
      </c>
      <c r="D55" s="590" t="s">
        <v>802</v>
      </c>
      <c r="E55" s="593" t="s">
        <v>801</v>
      </c>
      <c r="F55" s="593" t="s">
        <v>872</v>
      </c>
      <c r="G55" s="590" t="s">
        <v>801</v>
      </c>
      <c r="H55" s="533"/>
      <c r="I55" s="533"/>
      <c r="J55" s="533"/>
    </row>
    <row r="56" spans="2:10" ht="15.6" x14ac:dyDescent="0.25">
      <c r="B56" s="592" t="s">
        <v>871</v>
      </c>
      <c r="C56" s="591" t="s">
        <v>870</v>
      </c>
      <c r="D56" s="590" t="s">
        <v>802</v>
      </c>
      <c r="E56" s="590" t="s">
        <v>801</v>
      </c>
      <c r="F56" s="590" t="s">
        <v>801</v>
      </c>
      <c r="G56" s="590" t="s">
        <v>801</v>
      </c>
      <c r="H56" s="533"/>
      <c r="I56" s="533"/>
      <c r="J56" s="533"/>
    </row>
    <row r="57" spans="2:10" ht="15.6" x14ac:dyDescent="0.25">
      <c r="B57" s="592" t="s">
        <v>869</v>
      </c>
      <c r="C57" s="591" t="s">
        <v>868</v>
      </c>
      <c r="D57" s="590" t="s">
        <v>802</v>
      </c>
      <c r="E57" s="590" t="s">
        <v>801</v>
      </c>
      <c r="F57" s="590" t="s">
        <v>801</v>
      </c>
      <c r="G57" s="590" t="s">
        <v>801</v>
      </c>
      <c r="H57" s="533"/>
      <c r="I57" s="533"/>
      <c r="J57" s="533"/>
    </row>
    <row r="58" spans="2:10" ht="15.6" x14ac:dyDescent="0.25">
      <c r="B58" s="592" t="s">
        <v>867</v>
      </c>
      <c r="C58" s="591" t="s">
        <v>866</v>
      </c>
      <c r="D58" s="590" t="s">
        <v>802</v>
      </c>
      <c r="E58" s="590" t="s">
        <v>801</v>
      </c>
      <c r="F58" s="590" t="s">
        <v>801</v>
      </c>
      <c r="G58" s="590" t="s">
        <v>801</v>
      </c>
      <c r="H58" s="533"/>
      <c r="I58" s="533"/>
      <c r="J58" s="533"/>
    </row>
    <row r="59" spans="2:10" ht="15.6" x14ac:dyDescent="0.25">
      <c r="B59" s="592" t="s">
        <v>865</v>
      </c>
      <c r="C59" s="591" t="s">
        <v>864</v>
      </c>
      <c r="D59" s="590" t="s">
        <v>802</v>
      </c>
      <c r="E59" s="590" t="s">
        <v>801</v>
      </c>
      <c r="F59" s="590" t="s">
        <v>801</v>
      </c>
      <c r="G59" s="590" t="s">
        <v>801</v>
      </c>
      <c r="H59" s="533"/>
      <c r="I59" s="533"/>
      <c r="J59" s="533"/>
    </row>
    <row r="60" spans="2:10" ht="15.6" x14ac:dyDescent="0.25">
      <c r="B60" s="592" t="s">
        <v>863</v>
      </c>
      <c r="C60" s="591" t="s">
        <v>862</v>
      </c>
      <c r="D60" s="590" t="s">
        <v>802</v>
      </c>
      <c r="E60" s="590" t="s">
        <v>801</v>
      </c>
      <c r="F60" s="590" t="s">
        <v>801</v>
      </c>
      <c r="G60" s="590" t="s">
        <v>801</v>
      </c>
      <c r="H60" s="533"/>
      <c r="I60" s="533"/>
      <c r="J60" s="533"/>
    </row>
    <row r="61" spans="2:10" ht="15.6" x14ac:dyDescent="0.25">
      <c r="B61" s="592" t="s">
        <v>861</v>
      </c>
      <c r="C61" s="591" t="s">
        <v>860</v>
      </c>
      <c r="D61" s="590" t="s">
        <v>802</v>
      </c>
      <c r="E61" s="590" t="s">
        <v>801</v>
      </c>
      <c r="F61" s="590" t="s">
        <v>801</v>
      </c>
      <c r="G61" s="590" t="s">
        <v>801</v>
      </c>
      <c r="H61" s="533"/>
      <c r="I61" s="533"/>
      <c r="J61" s="533"/>
    </row>
    <row r="62" spans="2:10" ht="15.6" x14ac:dyDescent="0.25">
      <c r="B62" s="592" t="s">
        <v>859</v>
      </c>
      <c r="C62" s="591" t="s">
        <v>858</v>
      </c>
      <c r="D62" s="590" t="s">
        <v>802</v>
      </c>
      <c r="E62" s="590" t="s">
        <v>801</v>
      </c>
      <c r="F62" s="590" t="s">
        <v>801</v>
      </c>
      <c r="G62" s="590" t="s">
        <v>801</v>
      </c>
      <c r="H62" s="533"/>
      <c r="I62" s="533"/>
      <c r="J62" s="533"/>
    </row>
    <row r="63" spans="2:10" ht="15.6" x14ac:dyDescent="0.25">
      <c r="B63" s="592" t="s">
        <v>857</v>
      </c>
      <c r="C63" s="591" t="s">
        <v>856</v>
      </c>
      <c r="D63" s="590" t="s">
        <v>802</v>
      </c>
      <c r="E63" s="590" t="s">
        <v>801</v>
      </c>
      <c r="F63" s="590" t="s">
        <v>801</v>
      </c>
      <c r="G63" s="590" t="s">
        <v>801</v>
      </c>
      <c r="H63" s="533"/>
      <c r="I63" s="533"/>
      <c r="J63" s="533"/>
    </row>
    <row r="64" spans="2:10" ht="15.6" x14ac:dyDescent="0.25">
      <c r="B64" s="592" t="s">
        <v>855</v>
      </c>
      <c r="C64" s="591" t="s">
        <v>854</v>
      </c>
      <c r="D64" s="590" t="s">
        <v>802</v>
      </c>
      <c r="E64" s="590" t="s">
        <v>801</v>
      </c>
      <c r="F64" s="590" t="s">
        <v>801</v>
      </c>
      <c r="G64" s="590" t="s">
        <v>801</v>
      </c>
      <c r="H64" s="533"/>
      <c r="I64" s="533"/>
      <c r="J64" s="533"/>
    </row>
    <row r="65" spans="2:10" ht="15.6" x14ac:dyDescent="0.25">
      <c r="B65" s="592" t="s">
        <v>853</v>
      </c>
      <c r="C65" s="591" t="s">
        <v>852</v>
      </c>
      <c r="D65" s="590" t="s">
        <v>802</v>
      </c>
      <c r="E65" s="590" t="s">
        <v>801</v>
      </c>
      <c r="F65" s="590" t="s">
        <v>801</v>
      </c>
      <c r="G65" s="590" t="s">
        <v>801</v>
      </c>
      <c r="H65" s="533"/>
      <c r="I65" s="533"/>
      <c r="J65" s="533"/>
    </row>
    <row r="66" spans="2:10" ht="15.6" x14ac:dyDescent="0.25">
      <c r="B66" s="592" t="s">
        <v>851</v>
      </c>
      <c r="C66" s="591" t="s">
        <v>850</v>
      </c>
      <c r="D66" s="590" t="s">
        <v>802</v>
      </c>
      <c r="E66" s="590" t="s">
        <v>801</v>
      </c>
      <c r="F66" s="590" t="s">
        <v>801</v>
      </c>
      <c r="G66" s="590" t="s">
        <v>801</v>
      </c>
      <c r="H66" s="533"/>
      <c r="I66" s="533"/>
      <c r="J66" s="533"/>
    </row>
    <row r="67" spans="2:10" ht="28.8" x14ac:dyDescent="0.25">
      <c r="B67" s="592" t="s">
        <v>849</v>
      </c>
      <c r="C67" s="591" t="s">
        <v>848</v>
      </c>
      <c r="D67" s="590" t="s">
        <v>802</v>
      </c>
      <c r="E67" s="590" t="s">
        <v>801</v>
      </c>
      <c r="F67" s="590" t="s">
        <v>801</v>
      </c>
      <c r="G67" s="590" t="s">
        <v>801</v>
      </c>
      <c r="H67" s="533"/>
      <c r="I67" s="533"/>
      <c r="J67" s="533"/>
    </row>
    <row r="68" spans="2:10" ht="28.8" x14ac:dyDescent="0.25">
      <c r="B68" s="592" t="s">
        <v>847</v>
      </c>
      <c r="C68" s="591" t="s">
        <v>846</v>
      </c>
      <c r="D68" s="590" t="s">
        <v>802</v>
      </c>
      <c r="E68" s="590" t="s">
        <v>801</v>
      </c>
      <c r="F68" s="590" t="s">
        <v>801</v>
      </c>
      <c r="G68" s="590" t="s">
        <v>801</v>
      </c>
      <c r="H68" s="533"/>
      <c r="I68" s="533"/>
      <c r="J68" s="533"/>
    </row>
    <row r="69" spans="2:10" ht="28.8" x14ac:dyDescent="0.25">
      <c r="B69" s="592" t="s">
        <v>845</v>
      </c>
      <c r="C69" s="591" t="s">
        <v>844</v>
      </c>
      <c r="D69" s="590" t="s">
        <v>802</v>
      </c>
      <c r="E69" s="590" t="s">
        <v>801</v>
      </c>
      <c r="F69" s="590" t="s">
        <v>801</v>
      </c>
      <c r="G69" s="590" t="s">
        <v>801</v>
      </c>
      <c r="H69" s="533"/>
      <c r="I69" s="533"/>
      <c r="J69" s="533"/>
    </row>
    <row r="70" spans="2:10" ht="28.8" x14ac:dyDescent="0.25">
      <c r="B70" s="592" t="s">
        <v>843</v>
      </c>
      <c r="C70" s="591" t="s">
        <v>842</v>
      </c>
      <c r="D70" s="590" t="s">
        <v>802</v>
      </c>
      <c r="E70" s="590" t="s">
        <v>801</v>
      </c>
      <c r="F70" s="590" t="s">
        <v>801</v>
      </c>
      <c r="G70" s="590" t="s">
        <v>801</v>
      </c>
      <c r="H70" s="533"/>
      <c r="I70" s="533"/>
      <c r="J70" s="533"/>
    </row>
    <row r="71" spans="2:10" ht="15.6" x14ac:dyDescent="0.25">
      <c r="B71" s="592" t="s">
        <v>841</v>
      </c>
      <c r="C71" s="591" t="s">
        <v>840</v>
      </c>
      <c r="D71" s="590" t="s">
        <v>802</v>
      </c>
      <c r="E71" s="590" t="s">
        <v>801</v>
      </c>
      <c r="F71" s="590" t="s">
        <v>801</v>
      </c>
      <c r="G71" s="590" t="s">
        <v>801</v>
      </c>
      <c r="H71" s="533"/>
      <c r="I71" s="533"/>
      <c r="J71" s="533"/>
    </row>
    <row r="72" spans="2:10" ht="28.8" x14ac:dyDescent="0.25">
      <c r="B72" s="592" t="s">
        <v>839</v>
      </c>
      <c r="C72" s="591" t="s">
        <v>838</v>
      </c>
      <c r="D72" s="590" t="s">
        <v>802</v>
      </c>
      <c r="E72" s="590" t="s">
        <v>801</v>
      </c>
      <c r="F72" s="590" t="s">
        <v>801</v>
      </c>
      <c r="G72" s="590" t="s">
        <v>801</v>
      </c>
      <c r="H72" s="533"/>
      <c r="I72" s="533"/>
      <c r="J72" s="533"/>
    </row>
    <row r="73" spans="2:10" ht="28.8" x14ac:dyDescent="0.25">
      <c r="B73" s="592" t="s">
        <v>837</v>
      </c>
      <c r="C73" s="591" t="s">
        <v>836</v>
      </c>
      <c r="D73" s="590" t="s">
        <v>802</v>
      </c>
      <c r="E73" s="590" t="s">
        <v>801</v>
      </c>
      <c r="F73" s="590" t="s">
        <v>801</v>
      </c>
      <c r="G73" s="590" t="s">
        <v>801</v>
      </c>
      <c r="H73" s="533"/>
      <c r="I73" s="533"/>
      <c r="J73" s="533"/>
    </row>
    <row r="74" spans="2:10" ht="15.6" x14ac:dyDescent="0.25">
      <c r="B74" s="592" t="s">
        <v>835</v>
      </c>
      <c r="C74" s="591" t="s">
        <v>834</v>
      </c>
      <c r="D74" s="590" t="s">
        <v>802</v>
      </c>
      <c r="E74" s="590" t="s">
        <v>801</v>
      </c>
      <c r="F74" s="590" t="s">
        <v>801</v>
      </c>
      <c r="G74" s="590" t="s">
        <v>801</v>
      </c>
      <c r="H74" s="533"/>
      <c r="I74" s="533"/>
      <c r="J74" s="533"/>
    </row>
    <row r="75" spans="2:10" ht="15.6" x14ac:dyDescent="0.25">
      <c r="B75" s="592" t="s">
        <v>833</v>
      </c>
      <c r="C75" s="591" t="s">
        <v>832</v>
      </c>
      <c r="D75" s="590" t="s">
        <v>802</v>
      </c>
      <c r="E75" s="590" t="s">
        <v>801</v>
      </c>
      <c r="F75" s="590" t="s">
        <v>801</v>
      </c>
      <c r="G75" s="590" t="s">
        <v>801</v>
      </c>
      <c r="H75" s="533"/>
      <c r="I75" s="533"/>
      <c r="J75" s="533"/>
    </row>
    <row r="76" spans="2:10" ht="28.8" x14ac:dyDescent="0.25">
      <c r="B76" s="592" t="s">
        <v>831</v>
      </c>
      <c r="C76" s="591" t="s">
        <v>830</v>
      </c>
      <c r="D76" s="590" t="s">
        <v>802</v>
      </c>
      <c r="E76" s="590" t="s">
        <v>801</v>
      </c>
      <c r="F76" s="590" t="s">
        <v>801</v>
      </c>
      <c r="G76" s="590" t="s">
        <v>801</v>
      </c>
      <c r="H76" s="533"/>
      <c r="I76" s="533"/>
      <c r="J76" s="533"/>
    </row>
    <row r="77" spans="2:10" ht="28.8" x14ac:dyDescent="0.25">
      <c r="B77" s="592" t="s">
        <v>829</v>
      </c>
      <c r="C77" s="591" t="s">
        <v>828</v>
      </c>
      <c r="D77" s="590" t="s">
        <v>802</v>
      </c>
      <c r="E77" s="590" t="s">
        <v>801</v>
      </c>
      <c r="F77" s="590" t="s">
        <v>801</v>
      </c>
      <c r="G77" s="590" t="s">
        <v>801</v>
      </c>
      <c r="H77" s="533"/>
      <c r="I77" s="533"/>
      <c r="J77" s="533"/>
    </row>
    <row r="78" spans="2:10" ht="15.6" x14ac:dyDescent="0.25">
      <c r="B78" s="592" t="s">
        <v>827</v>
      </c>
      <c r="C78" s="591" t="s">
        <v>826</v>
      </c>
      <c r="D78" s="590" t="s">
        <v>802</v>
      </c>
      <c r="E78" s="590" t="s">
        <v>801</v>
      </c>
      <c r="F78" s="590" t="s">
        <v>801</v>
      </c>
      <c r="G78" s="590" t="s">
        <v>801</v>
      </c>
      <c r="H78" s="533"/>
      <c r="I78" s="533"/>
      <c r="J78" s="533"/>
    </row>
    <row r="79" spans="2:10" ht="15.6" x14ac:dyDescent="0.25">
      <c r="B79" s="592" t="s">
        <v>825</v>
      </c>
      <c r="C79" s="591" t="s">
        <v>824</v>
      </c>
      <c r="D79" s="590" t="s">
        <v>802</v>
      </c>
      <c r="E79" s="590" t="s">
        <v>801</v>
      </c>
      <c r="F79" s="590" t="s">
        <v>801</v>
      </c>
      <c r="G79" s="590" t="s">
        <v>801</v>
      </c>
      <c r="H79" s="533"/>
      <c r="I79" s="533"/>
      <c r="J79" s="533"/>
    </row>
    <row r="80" spans="2:10" ht="15.6" x14ac:dyDescent="0.25">
      <c r="B80" s="592" t="s">
        <v>823</v>
      </c>
      <c r="C80" s="591" t="s">
        <v>778</v>
      </c>
      <c r="D80" s="590" t="s">
        <v>802</v>
      </c>
      <c r="E80" s="590" t="s">
        <v>801</v>
      </c>
      <c r="F80" s="590" t="s">
        <v>801</v>
      </c>
      <c r="G80" s="590" t="s">
        <v>801</v>
      </c>
      <c r="H80" s="533"/>
      <c r="I80" s="533"/>
      <c r="J80" s="533"/>
    </row>
    <row r="81" spans="2:10" ht="28.8" x14ac:dyDescent="0.25">
      <c r="B81" s="592" t="s">
        <v>822</v>
      </c>
      <c r="C81" s="591" t="s">
        <v>821</v>
      </c>
      <c r="D81" s="590" t="s">
        <v>802</v>
      </c>
      <c r="E81" s="590" t="s">
        <v>801</v>
      </c>
      <c r="F81" s="590" t="s">
        <v>801</v>
      </c>
      <c r="G81" s="590" t="s">
        <v>801</v>
      </c>
      <c r="H81" s="533"/>
      <c r="I81" s="533"/>
      <c r="J81" s="533"/>
    </row>
    <row r="82" spans="2:10" ht="28.8" x14ac:dyDescent="0.25">
      <c r="B82" s="592" t="s">
        <v>820</v>
      </c>
      <c r="C82" s="591" t="s">
        <v>819</v>
      </c>
      <c r="D82" s="590" t="s">
        <v>802</v>
      </c>
      <c r="E82" s="590" t="s">
        <v>801</v>
      </c>
      <c r="F82" s="590" t="s">
        <v>801</v>
      </c>
      <c r="G82" s="590" t="s">
        <v>801</v>
      </c>
      <c r="H82" s="533"/>
      <c r="I82" s="533"/>
      <c r="J82" s="533"/>
    </row>
    <row r="83" spans="2:10" ht="15.6" x14ac:dyDescent="0.25">
      <c r="B83" s="592" t="s">
        <v>818</v>
      </c>
      <c r="C83" s="591" t="s">
        <v>817</v>
      </c>
      <c r="D83" s="590" t="s">
        <v>802</v>
      </c>
      <c r="E83" s="590" t="s">
        <v>801</v>
      </c>
      <c r="F83" s="590" t="s">
        <v>801</v>
      </c>
      <c r="G83" s="590" t="s">
        <v>801</v>
      </c>
      <c r="H83" s="533"/>
      <c r="I83" s="533"/>
      <c r="J83" s="533"/>
    </row>
    <row r="84" spans="2:10" ht="28.8" x14ac:dyDescent="0.25">
      <c r="B84" s="592" t="s">
        <v>816</v>
      </c>
      <c r="C84" s="591" t="s">
        <v>815</v>
      </c>
      <c r="D84" s="590" t="s">
        <v>802</v>
      </c>
      <c r="E84" s="590" t="s">
        <v>801</v>
      </c>
      <c r="F84" s="590" t="s">
        <v>801</v>
      </c>
      <c r="G84" s="590" t="s">
        <v>801</v>
      </c>
      <c r="H84" s="533"/>
      <c r="I84" s="533"/>
      <c r="J84" s="533"/>
    </row>
    <row r="85" spans="2:10" ht="28.8" x14ac:dyDescent="0.25">
      <c r="B85" s="592" t="s">
        <v>814</v>
      </c>
      <c r="C85" s="591" t="s">
        <v>813</v>
      </c>
      <c r="D85" s="590" t="s">
        <v>802</v>
      </c>
      <c r="E85" s="590" t="s">
        <v>801</v>
      </c>
      <c r="F85" s="590" t="s">
        <v>801</v>
      </c>
      <c r="G85" s="590" t="s">
        <v>801</v>
      </c>
      <c r="H85" s="533"/>
      <c r="I85" s="533"/>
      <c r="J85" s="533"/>
    </row>
    <row r="86" spans="2:10" ht="28.8" x14ac:dyDescent="0.25">
      <c r="B86" s="592" t="s">
        <v>812</v>
      </c>
      <c r="C86" s="591" t="s">
        <v>811</v>
      </c>
      <c r="D86" s="590" t="s">
        <v>802</v>
      </c>
      <c r="E86" s="590" t="s">
        <v>801</v>
      </c>
      <c r="F86" s="590" t="s">
        <v>801</v>
      </c>
      <c r="G86" s="590" t="s">
        <v>801</v>
      </c>
      <c r="H86" s="533"/>
      <c r="I86" s="533"/>
      <c r="J86" s="533"/>
    </row>
    <row r="87" spans="2:10" ht="28.8" x14ac:dyDescent="0.25">
      <c r="B87" s="592" t="s">
        <v>810</v>
      </c>
      <c r="C87" s="591" t="s">
        <v>809</v>
      </c>
      <c r="D87" s="590" t="s">
        <v>802</v>
      </c>
      <c r="E87" s="590" t="s">
        <v>801</v>
      </c>
      <c r="F87" s="590" t="s">
        <v>801</v>
      </c>
      <c r="G87" s="590" t="s">
        <v>801</v>
      </c>
      <c r="H87" s="533"/>
      <c r="I87" s="533"/>
      <c r="J87" s="533"/>
    </row>
    <row r="88" spans="2:10" ht="28.8" x14ac:dyDescent="0.25">
      <c r="B88" s="592" t="s">
        <v>808</v>
      </c>
      <c r="C88" s="591" t="s">
        <v>807</v>
      </c>
      <c r="D88" s="590" t="s">
        <v>802</v>
      </c>
      <c r="E88" s="590" t="s">
        <v>801</v>
      </c>
      <c r="F88" s="590" t="s">
        <v>801</v>
      </c>
      <c r="G88" s="590" t="s">
        <v>801</v>
      </c>
      <c r="H88" s="533"/>
      <c r="I88" s="533"/>
      <c r="J88" s="533"/>
    </row>
    <row r="89" spans="2:10" ht="15.6" x14ac:dyDescent="0.25">
      <c r="B89" s="592" t="s">
        <v>806</v>
      </c>
      <c r="C89" s="591" t="s">
        <v>805</v>
      </c>
      <c r="D89" s="590" t="s">
        <v>802</v>
      </c>
      <c r="E89" s="590" t="s">
        <v>801</v>
      </c>
      <c r="F89" s="590" t="s">
        <v>801</v>
      </c>
      <c r="G89" s="590" t="s">
        <v>801</v>
      </c>
      <c r="H89" s="533"/>
      <c r="I89" s="533"/>
      <c r="J89" s="533"/>
    </row>
    <row r="90" spans="2:10" ht="15.6" x14ac:dyDescent="0.25">
      <c r="B90" s="592" t="s">
        <v>804</v>
      </c>
      <c r="C90" s="591" t="s">
        <v>803</v>
      </c>
      <c r="D90" s="590" t="s">
        <v>802</v>
      </c>
      <c r="E90" s="590" t="s">
        <v>801</v>
      </c>
      <c r="F90" s="590" t="s">
        <v>801</v>
      </c>
      <c r="G90" s="590" t="s">
        <v>801</v>
      </c>
      <c r="H90" s="533"/>
      <c r="I90" s="533"/>
      <c r="J90" s="533"/>
    </row>
  </sheetData>
  <autoFilter ref="B5:J90" xr:uid="{7617DF04-A899-4A61-BC05-DF088DB27FF4}"/>
  <mergeCells count="2">
    <mergeCell ref="D4:J4"/>
    <mergeCell ref="L20:M20"/>
  </mergeCells>
  <printOptions horizontalCentered="1" verticalCentered="1"/>
  <pageMargins left="0.27559055118110237" right="0.27559055118110237" top="0.6692913385826772" bottom="0.43307086614173229" header="0.31496062992125984" footer="0.31496062992125984"/>
  <pageSetup paperSize="9" scale="4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4.4" x14ac:dyDescent="0.3"/>
  <cols>
    <col min="1" max="3" width="2.6640625" style="41" customWidth="1"/>
    <col min="4" max="4" width="55.88671875" bestFit="1" customWidth="1"/>
    <col min="5" max="5" width="30.6640625" customWidth="1"/>
    <col min="6" max="6" width="10.6640625" customWidth="1"/>
    <col min="7" max="7" width="10.44140625" style="1" customWidth="1"/>
    <col min="8" max="8" width="10.44140625" customWidth="1"/>
    <col min="9" max="9" width="2.6640625" customWidth="1"/>
    <col min="10" max="10" width="6.109375" hidden="1" customWidth="1"/>
    <col min="11" max="66" width="2.5546875" customWidth="1"/>
  </cols>
  <sheetData>
    <row r="3" spans="1:66" ht="25.5" customHeight="1" x14ac:dyDescent="0.4">
      <c r="E3" s="37" t="s">
        <v>177</v>
      </c>
      <c r="F3" s="38"/>
      <c r="G3" s="39"/>
      <c r="H3" s="40"/>
    </row>
    <row r="5" spans="1:66" ht="34.5" customHeight="1" thickBot="1" x14ac:dyDescent="0.35">
      <c r="A5" s="41" t="s">
        <v>139</v>
      </c>
      <c r="D5" s="105" t="s">
        <v>169</v>
      </c>
      <c r="E5" s="720" t="s">
        <v>140</v>
      </c>
      <c r="F5" s="721"/>
      <c r="G5" s="722">
        <v>45160</v>
      </c>
      <c r="H5" s="722"/>
    </row>
    <row r="6" spans="1:66" ht="30" customHeight="1" thickTop="1" thickBot="1" x14ac:dyDescent="0.35">
      <c r="A6" s="36" t="s">
        <v>141</v>
      </c>
      <c r="B6" s="36"/>
      <c r="C6" s="36"/>
      <c r="E6" s="720" t="s">
        <v>142</v>
      </c>
      <c r="F6" s="721"/>
      <c r="G6" s="42">
        <v>1</v>
      </c>
      <c r="K6" s="717">
        <f>K7</f>
        <v>45159</v>
      </c>
      <c r="L6" s="718"/>
      <c r="M6" s="718"/>
      <c r="N6" s="718"/>
      <c r="O6" s="718"/>
      <c r="P6" s="718"/>
      <c r="Q6" s="719"/>
      <c r="R6" s="717">
        <f>R7</f>
        <v>45166</v>
      </c>
      <c r="S6" s="718"/>
      <c r="T6" s="718"/>
      <c r="U6" s="718"/>
      <c r="V6" s="718"/>
      <c r="W6" s="718"/>
      <c r="X6" s="719"/>
      <c r="Y6" s="717">
        <f>Y7</f>
        <v>45173</v>
      </c>
      <c r="Z6" s="718"/>
      <c r="AA6" s="718"/>
      <c r="AB6" s="718"/>
      <c r="AC6" s="718"/>
      <c r="AD6" s="718"/>
      <c r="AE6" s="719"/>
      <c r="AF6" s="717">
        <f>AF7</f>
        <v>45180</v>
      </c>
      <c r="AG6" s="718"/>
      <c r="AH6" s="718"/>
      <c r="AI6" s="718"/>
      <c r="AJ6" s="718"/>
      <c r="AK6" s="718"/>
      <c r="AL6" s="719"/>
      <c r="AM6" s="717">
        <f>AM7</f>
        <v>45187</v>
      </c>
      <c r="AN6" s="718"/>
      <c r="AO6" s="718"/>
      <c r="AP6" s="718"/>
      <c r="AQ6" s="718"/>
      <c r="AR6" s="718"/>
      <c r="AS6" s="719"/>
      <c r="AT6" s="717">
        <f>AT7</f>
        <v>45194</v>
      </c>
      <c r="AU6" s="718"/>
      <c r="AV6" s="718"/>
      <c r="AW6" s="718"/>
      <c r="AX6" s="718"/>
      <c r="AY6" s="718"/>
      <c r="AZ6" s="719"/>
      <c r="BA6" s="717">
        <f>BA7</f>
        <v>45201</v>
      </c>
      <c r="BB6" s="718"/>
      <c r="BC6" s="718"/>
      <c r="BD6" s="718"/>
      <c r="BE6" s="718"/>
      <c r="BF6" s="718"/>
      <c r="BG6" s="719"/>
      <c r="BH6" s="717">
        <f>BH7</f>
        <v>45208</v>
      </c>
      <c r="BI6" s="718"/>
      <c r="BJ6" s="718"/>
      <c r="BK6" s="718"/>
      <c r="BL6" s="718"/>
      <c r="BM6" s="718"/>
      <c r="BN6" s="719"/>
    </row>
    <row r="7" spans="1:66" ht="15" customHeight="1" x14ac:dyDescent="0.3">
      <c r="A7" s="36" t="s">
        <v>143</v>
      </c>
      <c r="B7" s="36"/>
      <c r="C7" s="36"/>
      <c r="D7" s="43"/>
      <c r="E7" s="43"/>
      <c r="F7" s="43"/>
      <c r="G7" s="43"/>
      <c r="H7" s="43"/>
      <c r="I7" s="43"/>
      <c r="K7" s="44">
        <f>Início_do_projeto-WEEKDAY(Início_do_projeto,1)+2+7*(Semana_de_exibição-1)</f>
        <v>45159</v>
      </c>
      <c r="L7" s="45">
        <f>K7+1</f>
        <v>45160</v>
      </c>
      <c r="M7" s="45">
        <f t="shared" ref="M7:AZ7" si="0">L7+1</f>
        <v>45161</v>
      </c>
      <c r="N7" s="45">
        <f t="shared" si="0"/>
        <v>45162</v>
      </c>
      <c r="O7" s="45">
        <f t="shared" si="0"/>
        <v>45163</v>
      </c>
      <c r="P7" s="45">
        <f t="shared" si="0"/>
        <v>45164</v>
      </c>
      <c r="Q7" s="46">
        <f t="shared" si="0"/>
        <v>45165</v>
      </c>
      <c r="R7" s="44">
        <f>Q7+1</f>
        <v>45166</v>
      </c>
      <c r="S7" s="45">
        <f>R7+1</f>
        <v>45167</v>
      </c>
      <c r="T7" s="45">
        <f t="shared" si="0"/>
        <v>45168</v>
      </c>
      <c r="U7" s="45">
        <f t="shared" si="0"/>
        <v>45169</v>
      </c>
      <c r="V7" s="45">
        <f t="shared" si="0"/>
        <v>45170</v>
      </c>
      <c r="W7" s="45">
        <f t="shared" si="0"/>
        <v>45171</v>
      </c>
      <c r="X7" s="46">
        <f t="shared" si="0"/>
        <v>45172</v>
      </c>
      <c r="Y7" s="44">
        <f>X7+1</f>
        <v>45173</v>
      </c>
      <c r="Z7" s="45">
        <f>Y7+1</f>
        <v>45174</v>
      </c>
      <c r="AA7" s="45">
        <f t="shared" si="0"/>
        <v>45175</v>
      </c>
      <c r="AB7" s="45">
        <f t="shared" si="0"/>
        <v>45176</v>
      </c>
      <c r="AC7" s="45">
        <f t="shared" si="0"/>
        <v>45177</v>
      </c>
      <c r="AD7" s="45">
        <f t="shared" si="0"/>
        <v>45178</v>
      </c>
      <c r="AE7" s="46">
        <f t="shared" si="0"/>
        <v>45179</v>
      </c>
      <c r="AF7" s="44">
        <f>AE7+1</f>
        <v>45180</v>
      </c>
      <c r="AG7" s="45">
        <f>AF7+1</f>
        <v>45181</v>
      </c>
      <c r="AH7" s="45">
        <f t="shared" si="0"/>
        <v>45182</v>
      </c>
      <c r="AI7" s="45">
        <f t="shared" si="0"/>
        <v>45183</v>
      </c>
      <c r="AJ7" s="45">
        <f t="shared" si="0"/>
        <v>45184</v>
      </c>
      <c r="AK7" s="45">
        <f t="shared" si="0"/>
        <v>45185</v>
      </c>
      <c r="AL7" s="46">
        <f t="shared" si="0"/>
        <v>45186</v>
      </c>
      <c r="AM7" s="44">
        <f>AL7+1</f>
        <v>45187</v>
      </c>
      <c r="AN7" s="45">
        <f>AM7+1</f>
        <v>45188</v>
      </c>
      <c r="AO7" s="45">
        <f t="shared" si="0"/>
        <v>45189</v>
      </c>
      <c r="AP7" s="45">
        <f t="shared" si="0"/>
        <v>45190</v>
      </c>
      <c r="AQ7" s="45">
        <f t="shared" si="0"/>
        <v>45191</v>
      </c>
      <c r="AR7" s="45">
        <f t="shared" si="0"/>
        <v>45192</v>
      </c>
      <c r="AS7" s="46">
        <f t="shared" si="0"/>
        <v>45193</v>
      </c>
      <c r="AT7" s="44">
        <f>AS7+1</f>
        <v>45194</v>
      </c>
      <c r="AU7" s="45">
        <f>AT7+1</f>
        <v>45195</v>
      </c>
      <c r="AV7" s="45">
        <f t="shared" si="0"/>
        <v>45196</v>
      </c>
      <c r="AW7" s="45">
        <f t="shared" si="0"/>
        <v>45197</v>
      </c>
      <c r="AX7" s="45">
        <f t="shared" si="0"/>
        <v>45198</v>
      </c>
      <c r="AY7" s="45">
        <f t="shared" si="0"/>
        <v>45199</v>
      </c>
      <c r="AZ7" s="46">
        <f t="shared" si="0"/>
        <v>45200</v>
      </c>
      <c r="BA7" s="44">
        <f t="shared" ref="BA7:BN7" si="1">AZ7+1</f>
        <v>45201</v>
      </c>
      <c r="BB7" s="45">
        <f t="shared" si="1"/>
        <v>45202</v>
      </c>
      <c r="BC7" s="45">
        <f t="shared" si="1"/>
        <v>45203</v>
      </c>
      <c r="BD7" s="45">
        <f t="shared" si="1"/>
        <v>45204</v>
      </c>
      <c r="BE7" s="45">
        <f t="shared" si="1"/>
        <v>45205</v>
      </c>
      <c r="BF7" s="45">
        <f t="shared" si="1"/>
        <v>45206</v>
      </c>
      <c r="BG7" s="46">
        <f t="shared" si="1"/>
        <v>45207</v>
      </c>
      <c r="BH7" s="44">
        <f t="shared" si="1"/>
        <v>45208</v>
      </c>
      <c r="BI7" s="45">
        <f t="shared" si="1"/>
        <v>45209</v>
      </c>
      <c r="BJ7" s="45">
        <f t="shared" si="1"/>
        <v>45210</v>
      </c>
      <c r="BK7" s="45">
        <f t="shared" si="1"/>
        <v>45211</v>
      </c>
      <c r="BL7" s="45">
        <f t="shared" si="1"/>
        <v>45212</v>
      </c>
      <c r="BM7" s="45">
        <f t="shared" si="1"/>
        <v>45213</v>
      </c>
      <c r="BN7" s="46">
        <f t="shared" si="1"/>
        <v>45214</v>
      </c>
    </row>
    <row r="8" spans="1:66" ht="30" customHeight="1" thickBot="1" x14ac:dyDescent="0.35">
      <c r="A8" s="36" t="s">
        <v>144</v>
      </c>
      <c r="B8" s="36"/>
      <c r="C8" s="36"/>
      <c r="D8" s="47" t="s">
        <v>145</v>
      </c>
      <c r="E8" s="48" t="s">
        <v>146</v>
      </c>
      <c r="F8" s="48" t="s">
        <v>147</v>
      </c>
      <c r="G8" s="48" t="s">
        <v>148</v>
      </c>
      <c r="H8" s="48" t="s">
        <v>149</v>
      </c>
      <c r="I8" s="48"/>
      <c r="J8" s="48" t="s">
        <v>150</v>
      </c>
      <c r="K8" s="49" t="str">
        <f t="shared" ref="K8:BN8" si="2">LEFT(TEXT(K7,"ddd"),1)</f>
        <v>s</v>
      </c>
      <c r="L8" s="49" t="str">
        <f t="shared" si="2"/>
        <v>t</v>
      </c>
      <c r="M8" s="49" t="str">
        <f t="shared" si="2"/>
        <v>q</v>
      </c>
      <c r="N8" s="49" t="str">
        <f t="shared" si="2"/>
        <v>q</v>
      </c>
      <c r="O8" s="49" t="str">
        <f t="shared" si="2"/>
        <v>s</v>
      </c>
      <c r="P8" s="49" t="str">
        <f t="shared" si="2"/>
        <v>s</v>
      </c>
      <c r="Q8" s="49" t="str">
        <f t="shared" si="2"/>
        <v>d</v>
      </c>
      <c r="R8" s="49" t="str">
        <f t="shared" si="2"/>
        <v>s</v>
      </c>
      <c r="S8" s="49" t="str">
        <f t="shared" si="2"/>
        <v>t</v>
      </c>
      <c r="T8" s="49" t="str">
        <f t="shared" si="2"/>
        <v>q</v>
      </c>
      <c r="U8" s="49" t="str">
        <f t="shared" si="2"/>
        <v>q</v>
      </c>
      <c r="V8" s="49" t="str">
        <f t="shared" si="2"/>
        <v>s</v>
      </c>
      <c r="W8" s="49" t="str">
        <f t="shared" si="2"/>
        <v>s</v>
      </c>
      <c r="X8" s="49" t="str">
        <f t="shared" si="2"/>
        <v>d</v>
      </c>
      <c r="Y8" s="49" t="str">
        <f t="shared" si="2"/>
        <v>s</v>
      </c>
      <c r="Z8" s="49" t="str">
        <f t="shared" si="2"/>
        <v>t</v>
      </c>
      <c r="AA8" s="49" t="str">
        <f t="shared" si="2"/>
        <v>q</v>
      </c>
      <c r="AB8" s="49" t="str">
        <f t="shared" si="2"/>
        <v>q</v>
      </c>
      <c r="AC8" s="49" t="str">
        <f t="shared" si="2"/>
        <v>s</v>
      </c>
      <c r="AD8" s="49" t="str">
        <f t="shared" si="2"/>
        <v>s</v>
      </c>
      <c r="AE8" s="49" t="str">
        <f t="shared" si="2"/>
        <v>d</v>
      </c>
      <c r="AF8" s="49" t="str">
        <f t="shared" si="2"/>
        <v>s</v>
      </c>
      <c r="AG8" s="49" t="str">
        <f t="shared" si="2"/>
        <v>t</v>
      </c>
      <c r="AH8" s="49" t="str">
        <f t="shared" si="2"/>
        <v>q</v>
      </c>
      <c r="AI8" s="49" t="str">
        <f t="shared" si="2"/>
        <v>q</v>
      </c>
      <c r="AJ8" s="49" t="str">
        <f t="shared" si="2"/>
        <v>s</v>
      </c>
      <c r="AK8" s="49" t="str">
        <f t="shared" si="2"/>
        <v>s</v>
      </c>
      <c r="AL8" s="49" t="str">
        <f t="shared" si="2"/>
        <v>d</v>
      </c>
      <c r="AM8" s="49" t="str">
        <f t="shared" si="2"/>
        <v>s</v>
      </c>
      <c r="AN8" s="49" t="str">
        <f t="shared" si="2"/>
        <v>t</v>
      </c>
      <c r="AO8" s="49" t="str">
        <f t="shared" si="2"/>
        <v>q</v>
      </c>
      <c r="AP8" s="49" t="str">
        <f t="shared" si="2"/>
        <v>q</v>
      </c>
      <c r="AQ8" s="49" t="str">
        <f t="shared" si="2"/>
        <v>s</v>
      </c>
      <c r="AR8" s="49" t="str">
        <f t="shared" si="2"/>
        <v>s</v>
      </c>
      <c r="AS8" s="49" t="str">
        <f t="shared" si="2"/>
        <v>d</v>
      </c>
      <c r="AT8" s="49" t="str">
        <f t="shared" si="2"/>
        <v>s</v>
      </c>
      <c r="AU8" s="49" t="str">
        <f t="shared" si="2"/>
        <v>t</v>
      </c>
      <c r="AV8" s="49" t="str">
        <f t="shared" si="2"/>
        <v>q</v>
      </c>
      <c r="AW8" s="49" t="str">
        <f t="shared" si="2"/>
        <v>q</v>
      </c>
      <c r="AX8" s="49" t="str">
        <f t="shared" si="2"/>
        <v>s</v>
      </c>
      <c r="AY8" s="49" t="str">
        <f t="shared" si="2"/>
        <v>s</v>
      </c>
      <c r="AZ8" s="49" t="str">
        <f t="shared" si="2"/>
        <v>d</v>
      </c>
      <c r="BA8" s="49" t="str">
        <f t="shared" si="2"/>
        <v>s</v>
      </c>
      <c r="BB8" s="49" t="str">
        <f t="shared" si="2"/>
        <v>t</v>
      </c>
      <c r="BC8" s="49" t="str">
        <f t="shared" si="2"/>
        <v>q</v>
      </c>
      <c r="BD8" s="49" t="str">
        <f t="shared" si="2"/>
        <v>q</v>
      </c>
      <c r="BE8" s="49" t="str">
        <f t="shared" si="2"/>
        <v>s</v>
      </c>
      <c r="BF8" s="49" t="str">
        <f t="shared" si="2"/>
        <v>s</v>
      </c>
      <c r="BG8" s="49" t="str">
        <f t="shared" si="2"/>
        <v>d</v>
      </c>
      <c r="BH8" s="49" t="str">
        <f t="shared" si="2"/>
        <v>s</v>
      </c>
      <c r="BI8" s="49" t="str">
        <f t="shared" si="2"/>
        <v>t</v>
      </c>
      <c r="BJ8" s="49" t="str">
        <f t="shared" si="2"/>
        <v>q</v>
      </c>
      <c r="BK8" s="49" t="str">
        <f t="shared" si="2"/>
        <v>q</v>
      </c>
      <c r="BL8" s="49" t="str">
        <f t="shared" si="2"/>
        <v>s</v>
      </c>
      <c r="BM8" s="49" t="str">
        <f t="shared" si="2"/>
        <v>s</v>
      </c>
      <c r="BN8" s="49" t="str">
        <f t="shared" si="2"/>
        <v>d</v>
      </c>
    </row>
    <row r="9" spans="1:66" ht="30" hidden="1" customHeight="1" x14ac:dyDescent="0.3">
      <c r="A9" s="41" t="s">
        <v>151</v>
      </c>
      <c r="E9" s="50"/>
      <c r="G9"/>
      <c r="J9">
        <f>IF(OR(ISBLANK(início_da_tarefa),ISBLANK(término_da_tarefa)),"",término_da_tarefa-início_da_tarefa+1)</f>
        <v>4</v>
      </c>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row>
    <row r="10" spans="1:66" s="14" customFormat="1" ht="30" customHeight="1" thickBot="1" x14ac:dyDescent="0.35">
      <c r="A10" s="36" t="s">
        <v>152</v>
      </c>
      <c r="B10" s="36"/>
      <c r="C10" s="36"/>
      <c r="D10" s="52" t="s">
        <v>54</v>
      </c>
      <c r="E10" s="53"/>
      <c r="F10" s="54"/>
      <c r="G10" s="55"/>
      <c r="H10" s="56"/>
      <c r="I10" s="57"/>
      <c r="J10" s="57">
        <f t="shared" ref="J10:J35" si="3">IF(OR(ISBLANK(início_da_tarefa),ISBLANK(término_da_tarefa)),"",término_da_tarefa-início_da_tarefa+1)</f>
        <v>3</v>
      </c>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row>
    <row r="11" spans="1:66" s="14" customFormat="1" ht="30" customHeight="1" thickBot="1" x14ac:dyDescent="0.35">
      <c r="A11" s="36" t="s">
        <v>153</v>
      </c>
      <c r="B11" s="36"/>
      <c r="C11" s="36"/>
      <c r="D11" s="58" t="s">
        <v>52</v>
      </c>
      <c r="E11" s="59"/>
      <c r="F11" s="60"/>
      <c r="G11" s="61">
        <f>Início_do_projeto</f>
        <v>45160</v>
      </c>
      <c r="H11" s="61">
        <f>G11+3</f>
        <v>45163</v>
      </c>
      <c r="I11" s="57"/>
      <c r="J11" s="57">
        <f t="shared" si="3"/>
        <v>5</v>
      </c>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row>
    <row r="12" spans="1:66" s="14" customFormat="1" ht="30" customHeight="1" thickBot="1" x14ac:dyDescent="0.35">
      <c r="A12" s="36" t="s">
        <v>155</v>
      </c>
      <c r="B12" s="36"/>
      <c r="C12" s="36"/>
      <c r="D12" s="58" t="s">
        <v>156</v>
      </c>
      <c r="E12" s="59"/>
      <c r="F12" s="60"/>
      <c r="G12" s="61"/>
      <c r="H12" s="61"/>
      <c r="I12" s="57"/>
      <c r="J12" s="57">
        <f t="shared" si="3"/>
        <v>6</v>
      </c>
      <c r="K12" s="51"/>
      <c r="L12" s="51"/>
      <c r="M12" s="51"/>
      <c r="N12" s="51"/>
      <c r="O12" s="51"/>
      <c r="P12" s="51"/>
      <c r="Q12" s="51"/>
      <c r="R12" s="51"/>
      <c r="S12" s="51"/>
      <c r="T12" s="51"/>
      <c r="U12" s="51"/>
      <c r="V12" s="51"/>
      <c r="W12" s="62"/>
      <c r="X12" s="62"/>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row>
    <row r="13" spans="1:66" s="14" customFormat="1" ht="30" customHeight="1" thickBot="1" x14ac:dyDescent="0.35">
      <c r="A13" s="41"/>
      <c r="B13" s="41"/>
      <c r="C13" s="41"/>
      <c r="D13" s="58" t="s">
        <v>157</v>
      </c>
      <c r="E13" s="59"/>
      <c r="F13" s="60"/>
      <c r="G13" s="61"/>
      <c r="H13" s="61"/>
      <c r="I13" s="57"/>
      <c r="J13" s="57">
        <f t="shared" si="3"/>
        <v>3</v>
      </c>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row>
    <row r="14" spans="1:66" s="14" customFormat="1" ht="30" customHeight="1" thickBot="1" x14ac:dyDescent="0.35">
      <c r="A14" s="41"/>
      <c r="B14" s="41"/>
      <c r="C14" s="41"/>
      <c r="D14" s="58" t="s">
        <v>158</v>
      </c>
      <c r="E14" s="59"/>
      <c r="F14" s="60"/>
      <c r="G14" s="61"/>
      <c r="H14" s="61"/>
      <c r="I14" s="57"/>
      <c r="J14" s="57" t="str">
        <f t="shared" si="3"/>
        <v/>
      </c>
      <c r="K14" s="51"/>
      <c r="L14" s="51"/>
      <c r="M14" s="51"/>
      <c r="N14" s="51"/>
      <c r="O14" s="51"/>
      <c r="P14" s="51"/>
      <c r="Q14" s="51"/>
      <c r="R14" s="51"/>
      <c r="S14" s="51"/>
      <c r="T14" s="51"/>
      <c r="U14" s="51"/>
      <c r="V14" s="51"/>
      <c r="W14" s="51"/>
      <c r="X14" s="51"/>
      <c r="Y14" s="51"/>
      <c r="Z14" s="51"/>
      <c r="AA14" s="62"/>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row>
    <row r="15" spans="1:66" s="14" customFormat="1" ht="30" customHeight="1" thickBot="1" x14ac:dyDescent="0.35">
      <c r="A15" s="41"/>
      <c r="B15" s="41"/>
      <c r="C15" s="41"/>
      <c r="D15" s="58" t="s">
        <v>159</v>
      </c>
      <c r="E15" s="59"/>
      <c r="F15" s="60"/>
      <c r="G15" s="61"/>
      <c r="H15" s="61"/>
      <c r="I15" s="57"/>
      <c r="J15" s="57">
        <f t="shared" si="3"/>
        <v>5</v>
      </c>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row>
    <row r="16" spans="1:66" s="14" customFormat="1" ht="30" customHeight="1" thickBot="1" x14ac:dyDescent="0.35">
      <c r="A16" s="36" t="s">
        <v>160</v>
      </c>
      <c r="B16" s="36"/>
      <c r="C16" s="36"/>
      <c r="D16" s="63" t="s">
        <v>161</v>
      </c>
      <c r="E16" s="64"/>
      <c r="F16" s="65"/>
      <c r="G16" s="66"/>
      <c r="H16" s="67"/>
      <c r="I16" s="57"/>
      <c r="J16" s="57">
        <f t="shared" si="3"/>
        <v>6</v>
      </c>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row>
    <row r="17" spans="1:66" s="14" customFormat="1" ht="30" customHeight="1" thickBot="1" x14ac:dyDescent="0.35">
      <c r="A17" s="36"/>
      <c r="B17" s="36"/>
      <c r="C17" s="36"/>
      <c r="D17" s="68" t="s">
        <v>154</v>
      </c>
      <c r="E17" s="69"/>
      <c r="F17" s="70"/>
      <c r="G17" s="71"/>
      <c r="H17" s="71"/>
      <c r="I17" s="57"/>
      <c r="J17" s="57">
        <f t="shared" si="3"/>
        <v>4</v>
      </c>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row>
    <row r="18" spans="1:66" s="14" customFormat="1" ht="30" customHeight="1" thickBot="1" x14ac:dyDescent="0.35">
      <c r="A18" s="41"/>
      <c r="B18" s="41"/>
      <c r="C18" s="41"/>
      <c r="D18" s="68" t="s">
        <v>156</v>
      </c>
      <c r="E18" s="69"/>
      <c r="F18" s="70"/>
      <c r="G18" s="71"/>
      <c r="H18" s="71"/>
      <c r="I18" s="57"/>
      <c r="J18" s="57">
        <f t="shared" si="3"/>
        <v>3</v>
      </c>
      <c r="K18" s="51"/>
      <c r="L18" s="51"/>
      <c r="M18" s="51"/>
      <c r="N18" s="51"/>
      <c r="O18" s="51"/>
      <c r="P18" s="51"/>
      <c r="Q18" s="51"/>
      <c r="R18" s="51"/>
      <c r="S18" s="51"/>
      <c r="T18" s="51"/>
      <c r="U18" s="51"/>
      <c r="V18" s="51"/>
      <c r="W18" s="62"/>
      <c r="X18" s="62"/>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row>
    <row r="19" spans="1:66" s="14" customFormat="1" ht="30" customHeight="1" thickBot="1" x14ac:dyDescent="0.35">
      <c r="A19" s="41"/>
      <c r="B19" s="41"/>
      <c r="C19" s="41"/>
      <c r="D19" s="68" t="s">
        <v>157</v>
      </c>
      <c r="E19" s="69"/>
      <c r="F19" s="70"/>
      <c r="G19" s="71"/>
      <c r="H19" s="71"/>
      <c r="I19" s="57"/>
      <c r="J19" s="57">
        <f t="shared" si="3"/>
        <v>4</v>
      </c>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row>
    <row r="20" spans="1:66" s="14" customFormat="1" ht="30" customHeight="1" thickBot="1" x14ac:dyDescent="0.35">
      <c r="A20" s="41"/>
      <c r="B20" s="41"/>
      <c r="C20" s="41"/>
      <c r="D20" s="68" t="s">
        <v>158</v>
      </c>
      <c r="E20" s="69"/>
      <c r="F20" s="70"/>
      <c r="G20" s="71"/>
      <c r="H20" s="71"/>
      <c r="I20" s="57"/>
      <c r="J20" s="57" t="str">
        <f t="shared" si="3"/>
        <v/>
      </c>
      <c r="K20" s="51"/>
      <c r="L20" s="51"/>
      <c r="M20" s="51"/>
      <c r="N20" s="51"/>
      <c r="O20" s="51"/>
      <c r="P20" s="51"/>
      <c r="Q20" s="51"/>
      <c r="R20" s="51"/>
      <c r="S20" s="51"/>
      <c r="T20" s="51"/>
      <c r="U20" s="51"/>
      <c r="V20" s="51"/>
      <c r="W20" s="51"/>
      <c r="X20" s="51"/>
      <c r="Y20" s="51"/>
      <c r="Z20" s="51"/>
      <c r="AA20" s="62"/>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row>
    <row r="21" spans="1:66" s="14" customFormat="1" ht="30" customHeight="1" thickBot="1" x14ac:dyDescent="0.35">
      <c r="A21" s="41"/>
      <c r="B21" s="41"/>
      <c r="C21" s="41"/>
      <c r="D21" s="68" t="s">
        <v>159</v>
      </c>
      <c r="E21" s="69"/>
      <c r="F21" s="70"/>
      <c r="G21" s="71"/>
      <c r="H21" s="71"/>
      <c r="I21" s="57"/>
      <c r="J21" s="57">
        <f t="shared" si="3"/>
        <v>6</v>
      </c>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row>
    <row r="22" spans="1:66" s="14" customFormat="1" ht="30" customHeight="1" thickBot="1" x14ac:dyDescent="0.35">
      <c r="A22" s="41" t="s">
        <v>162</v>
      </c>
      <c r="B22" s="41"/>
      <c r="C22" s="41"/>
      <c r="D22" s="72" t="s">
        <v>163</v>
      </c>
      <c r="E22" s="73"/>
      <c r="F22" s="74"/>
      <c r="G22" s="75"/>
      <c r="H22" s="76"/>
      <c r="I22" s="57"/>
      <c r="J22" s="57">
        <f t="shared" si="3"/>
        <v>5</v>
      </c>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row>
    <row r="23" spans="1:66" s="14" customFormat="1" ht="30" customHeight="1" thickBot="1" x14ac:dyDescent="0.35">
      <c r="A23" s="41"/>
      <c r="B23" s="41"/>
      <c r="C23" s="41"/>
      <c r="D23" s="77" t="s">
        <v>154</v>
      </c>
      <c r="E23" s="78"/>
      <c r="F23" s="79"/>
      <c r="G23" s="80"/>
      <c r="H23" s="80"/>
      <c r="I23" s="57"/>
      <c r="J23" s="57">
        <f t="shared" si="3"/>
        <v>6</v>
      </c>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row>
    <row r="24" spans="1:66" s="14" customFormat="1" ht="30" customHeight="1" thickBot="1" x14ac:dyDescent="0.35">
      <c r="A24" s="41"/>
      <c r="B24" s="41"/>
      <c r="C24" s="41"/>
      <c r="D24" s="77" t="s">
        <v>156</v>
      </c>
      <c r="E24" s="78"/>
      <c r="F24" s="79"/>
      <c r="G24" s="80"/>
      <c r="H24" s="80"/>
      <c r="I24" s="57"/>
      <c r="J24" s="57">
        <f t="shared" si="3"/>
        <v>5</v>
      </c>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row>
    <row r="25" spans="1:66" s="14" customFormat="1" ht="30" customHeight="1" thickBot="1" x14ac:dyDescent="0.35">
      <c r="A25" s="41"/>
      <c r="B25" s="41"/>
      <c r="C25" s="41"/>
      <c r="D25" s="77" t="s">
        <v>157</v>
      </c>
      <c r="E25" s="78"/>
      <c r="F25" s="79"/>
      <c r="G25" s="80"/>
      <c r="H25" s="80"/>
      <c r="I25" s="57"/>
      <c r="J25" s="57">
        <f t="shared" si="3"/>
        <v>5</v>
      </c>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row>
    <row r="26" spans="1:66" s="14" customFormat="1" ht="30" customHeight="1" thickBot="1" x14ac:dyDescent="0.35">
      <c r="A26" s="41"/>
      <c r="B26" s="41"/>
      <c r="C26" s="41"/>
      <c r="D26" s="77" t="s">
        <v>158</v>
      </c>
      <c r="E26" s="78"/>
      <c r="F26" s="79"/>
      <c r="G26" s="80"/>
      <c r="H26" s="80"/>
      <c r="I26" s="57"/>
      <c r="J26" s="57" t="str">
        <f t="shared" si="3"/>
        <v/>
      </c>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row>
    <row r="27" spans="1:66" s="14" customFormat="1" ht="30" customHeight="1" thickBot="1" x14ac:dyDescent="0.35">
      <c r="A27" s="41"/>
      <c r="B27" s="41"/>
      <c r="C27" s="41"/>
      <c r="D27" s="77" t="s">
        <v>159</v>
      </c>
      <c r="E27" s="78"/>
      <c r="F27" s="79"/>
      <c r="G27" s="80"/>
      <c r="H27" s="80"/>
      <c r="I27" s="57"/>
      <c r="J27" s="57" t="e">
        <f t="shared" si="3"/>
        <v>#VALUE!</v>
      </c>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row>
    <row r="28" spans="1:66" s="14" customFormat="1" ht="30" customHeight="1" thickBot="1" x14ac:dyDescent="0.35">
      <c r="A28" s="41" t="s">
        <v>162</v>
      </c>
      <c r="B28" s="41"/>
      <c r="C28" s="41"/>
      <c r="D28" s="81" t="s">
        <v>164</v>
      </c>
      <c r="E28" s="82"/>
      <c r="F28" s="83"/>
      <c r="G28" s="84"/>
      <c r="H28" s="85"/>
      <c r="I28" s="57"/>
      <c r="J28" s="57" t="e">
        <f t="shared" si="3"/>
        <v>#VALUE!</v>
      </c>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row>
    <row r="29" spans="1:66" s="14" customFormat="1" ht="30" customHeight="1" thickBot="1" x14ac:dyDescent="0.35">
      <c r="A29" s="41"/>
      <c r="B29" s="41"/>
      <c r="C29" s="41"/>
      <c r="D29" s="86" t="s">
        <v>154</v>
      </c>
      <c r="E29" s="87"/>
      <c r="F29" s="88"/>
      <c r="G29" s="89" t="s">
        <v>165</v>
      </c>
      <c r="H29" s="89" t="s">
        <v>165</v>
      </c>
      <c r="I29" s="57"/>
      <c r="J29" s="57" t="e">
        <f t="shared" si="3"/>
        <v>#VALUE!</v>
      </c>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row>
    <row r="30" spans="1:66" s="14" customFormat="1" ht="30" customHeight="1" thickBot="1" x14ac:dyDescent="0.35">
      <c r="A30" s="41"/>
      <c r="B30" s="41"/>
      <c r="C30" s="41"/>
      <c r="D30" s="86" t="s">
        <v>156</v>
      </c>
      <c r="E30" s="87"/>
      <c r="F30" s="88"/>
      <c r="G30" s="89" t="s">
        <v>165</v>
      </c>
      <c r="H30" s="89" t="s">
        <v>165</v>
      </c>
      <c r="I30" s="57"/>
      <c r="J30" s="57" t="e">
        <f t="shared" si="3"/>
        <v>#VALUE!</v>
      </c>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row>
    <row r="31" spans="1:66" s="14" customFormat="1" ht="30" customHeight="1" thickBot="1" x14ac:dyDescent="0.35">
      <c r="A31" s="41"/>
      <c r="B31" s="41"/>
      <c r="C31" s="41"/>
      <c r="D31" s="86" t="s">
        <v>157</v>
      </c>
      <c r="E31" s="87"/>
      <c r="F31" s="88"/>
      <c r="G31" s="89" t="s">
        <v>165</v>
      </c>
      <c r="H31" s="89" t="s">
        <v>165</v>
      </c>
      <c r="I31" s="57"/>
      <c r="J31" s="57" t="e">
        <f t="shared" si="3"/>
        <v>#VALUE!</v>
      </c>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row>
    <row r="32" spans="1:66" s="14" customFormat="1" ht="30" customHeight="1" thickBot="1" x14ac:dyDescent="0.35">
      <c r="A32" s="41"/>
      <c r="B32" s="41"/>
      <c r="C32" s="41"/>
      <c r="D32" s="86" t="s">
        <v>158</v>
      </c>
      <c r="E32" s="87"/>
      <c r="F32" s="88"/>
      <c r="G32" s="89" t="s">
        <v>165</v>
      </c>
      <c r="H32" s="89" t="s">
        <v>165</v>
      </c>
      <c r="I32" s="57"/>
      <c r="J32" s="57" t="str">
        <f t="shared" si="3"/>
        <v/>
      </c>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row>
    <row r="33" spans="1:66" s="14" customFormat="1" ht="30" customHeight="1" thickBot="1" x14ac:dyDescent="0.35">
      <c r="A33" s="41"/>
      <c r="B33" s="41"/>
      <c r="C33" s="41"/>
      <c r="D33" s="86" t="s">
        <v>159</v>
      </c>
      <c r="E33" s="87"/>
      <c r="F33" s="88"/>
      <c r="G33" s="89" t="s">
        <v>165</v>
      </c>
      <c r="H33" s="89" t="s">
        <v>165</v>
      </c>
      <c r="I33" s="57"/>
      <c r="J33" s="57" t="str">
        <f t="shared" si="3"/>
        <v/>
      </c>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row>
    <row r="34" spans="1:66" s="14" customFormat="1" ht="30" customHeight="1" thickBot="1" x14ac:dyDescent="0.35">
      <c r="A34" s="41" t="s">
        <v>166</v>
      </c>
      <c r="B34" s="41"/>
      <c r="C34" s="41"/>
      <c r="D34" s="90"/>
      <c r="E34" s="91"/>
      <c r="F34" s="92"/>
      <c r="G34" s="93"/>
      <c r="H34" s="93"/>
      <c r="I34" s="57"/>
      <c r="J34" s="57" t="str">
        <f t="shared" si="3"/>
        <v/>
      </c>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row>
    <row r="35" spans="1:66" s="14" customFormat="1" ht="30" customHeight="1" thickBot="1" x14ac:dyDescent="0.35">
      <c r="A35" s="36" t="s">
        <v>167</v>
      </c>
      <c r="B35" s="36"/>
      <c r="C35" s="36"/>
      <c r="D35" s="94" t="s">
        <v>168</v>
      </c>
      <c r="E35" s="95"/>
      <c r="F35" s="96"/>
      <c r="G35" s="97"/>
      <c r="H35" s="98"/>
      <c r="I35" s="99"/>
      <c r="J35" s="99" t="str">
        <f t="shared" si="3"/>
        <v/>
      </c>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row>
    <row r="36" spans="1:66" ht="30" customHeight="1" x14ac:dyDescent="0.3">
      <c r="I36" s="101"/>
    </row>
    <row r="37" spans="1:66" ht="30" customHeight="1" x14ac:dyDescent="0.3">
      <c r="E37" s="102"/>
      <c r="H37" s="103"/>
    </row>
    <row r="38" spans="1:66" ht="30" customHeight="1" x14ac:dyDescent="0.3">
      <c r="E38" s="104"/>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2" priority="4">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pivotSelection pane="bottomRight" showHeader="1" activeRow="2" previousRow="2" click="1" r:id="rId1">
        <pivotArea type="all" dataOnly="0" outline="0" fieldPosition="0"/>
      </pivotSelection>
    </sheetView>
  </sheetViews>
  <sheetFormatPr defaultRowHeight="13.2" x14ac:dyDescent="0.25"/>
  <cols>
    <col min="1" max="1" width="14" bestFit="1" customWidth="1"/>
    <col min="2" max="2" width="25.5546875" customWidth="1"/>
    <col min="3" max="3" width="55" customWidth="1"/>
    <col min="4" max="4" width="6.109375" bestFit="1" customWidth="1"/>
    <col min="5" max="5" width="7" bestFit="1" customWidth="1"/>
    <col min="6" max="49" width="105.44140625" bestFit="1" customWidth="1"/>
    <col min="50" max="50" width="10" bestFit="1" customWidth="1"/>
  </cols>
  <sheetData>
    <row r="3" spans="1:5" x14ac:dyDescent="0.25">
      <c r="A3" s="30" t="s">
        <v>136</v>
      </c>
      <c r="B3" s="29"/>
      <c r="C3" s="29"/>
      <c r="D3" s="29"/>
      <c r="E3" s="32"/>
    </row>
    <row r="4" spans="1:5" x14ac:dyDescent="0.25">
      <c r="A4" s="30" t="s">
        <v>2</v>
      </c>
      <c r="B4" s="30" t="s">
        <v>4</v>
      </c>
      <c r="C4" s="30" t="s">
        <v>50</v>
      </c>
      <c r="D4" s="30" t="s">
        <v>0</v>
      </c>
      <c r="E4" s="32" t="s">
        <v>133</v>
      </c>
    </row>
    <row r="5" spans="1:5" x14ac:dyDescent="0.25">
      <c r="A5" s="28" t="s">
        <v>11</v>
      </c>
      <c r="B5" s="28" t="s">
        <v>55</v>
      </c>
      <c r="C5" s="28" t="s">
        <v>52</v>
      </c>
      <c r="D5" s="28" t="s">
        <v>11</v>
      </c>
      <c r="E5" s="32">
        <v>1000</v>
      </c>
    </row>
    <row r="6" spans="1:5" x14ac:dyDescent="0.25">
      <c r="A6" s="34"/>
      <c r="B6" s="34"/>
      <c r="C6" s="28" t="s">
        <v>51</v>
      </c>
      <c r="D6" s="28" t="s">
        <v>15</v>
      </c>
      <c r="E6" s="32">
        <v>1000</v>
      </c>
    </row>
    <row r="7" spans="1:5" x14ac:dyDescent="0.25">
      <c r="A7" s="34"/>
      <c r="B7" s="34"/>
      <c r="C7" s="28" t="s">
        <v>53</v>
      </c>
      <c r="D7" s="28" t="s">
        <v>14</v>
      </c>
      <c r="E7" s="32">
        <v>2000</v>
      </c>
    </row>
    <row r="8" spans="1:5" x14ac:dyDescent="0.25">
      <c r="A8" s="28" t="s">
        <v>15</v>
      </c>
      <c r="B8" s="28" t="s">
        <v>66</v>
      </c>
      <c r="C8" s="28" t="s">
        <v>131</v>
      </c>
      <c r="D8" s="28" t="s">
        <v>16</v>
      </c>
      <c r="E8" s="32">
        <v>2000</v>
      </c>
    </row>
    <row r="9" spans="1:5" x14ac:dyDescent="0.25">
      <c r="A9" s="34"/>
      <c r="B9" s="28" t="s">
        <v>55</v>
      </c>
      <c r="C9" s="28" t="s">
        <v>128</v>
      </c>
      <c r="D9" s="28" t="s">
        <v>8</v>
      </c>
      <c r="E9" s="32">
        <v>700</v>
      </c>
    </row>
    <row r="10" spans="1:5" x14ac:dyDescent="0.25">
      <c r="A10" s="34"/>
      <c r="B10" s="28" t="s">
        <v>134</v>
      </c>
      <c r="C10" s="28" t="s">
        <v>56</v>
      </c>
      <c r="D10" s="28">
        <v>2</v>
      </c>
      <c r="E10" s="32"/>
    </row>
    <row r="11" spans="1:5" x14ac:dyDescent="0.25">
      <c r="A11" s="28" t="s">
        <v>117</v>
      </c>
      <c r="B11" s="28" t="s">
        <v>126</v>
      </c>
      <c r="C11" s="28" t="s">
        <v>115</v>
      </c>
      <c r="D11" s="28" t="s">
        <v>117</v>
      </c>
      <c r="E11" s="32">
        <v>4000</v>
      </c>
    </row>
    <row r="12" spans="1:5" x14ac:dyDescent="0.25">
      <c r="A12" s="28" t="s">
        <v>118</v>
      </c>
      <c r="B12" s="28" t="s">
        <v>125</v>
      </c>
      <c r="C12" s="28" t="s">
        <v>116</v>
      </c>
      <c r="D12" s="28" t="s">
        <v>118</v>
      </c>
      <c r="E12" s="32">
        <v>1000</v>
      </c>
    </row>
    <row r="13" spans="1:5" x14ac:dyDescent="0.25">
      <c r="A13" s="28" t="s">
        <v>119</v>
      </c>
      <c r="B13" s="28" t="s">
        <v>125</v>
      </c>
      <c r="C13" s="28" t="s">
        <v>120</v>
      </c>
      <c r="D13" s="28" t="s">
        <v>119</v>
      </c>
      <c r="E13" s="32">
        <v>1000</v>
      </c>
    </row>
    <row r="14" spans="1:5" x14ac:dyDescent="0.25">
      <c r="A14" s="28" t="s">
        <v>7</v>
      </c>
      <c r="B14" s="28" t="s">
        <v>55</v>
      </c>
      <c r="C14" s="28" t="s">
        <v>57</v>
      </c>
      <c r="D14" s="28" t="s">
        <v>7</v>
      </c>
      <c r="E14" s="32">
        <v>2000</v>
      </c>
    </row>
    <row r="15" spans="1:5" x14ac:dyDescent="0.25">
      <c r="A15" s="28" t="s">
        <v>8</v>
      </c>
      <c r="B15" s="28" t="s">
        <v>55</v>
      </c>
      <c r="C15" s="28" t="s">
        <v>62</v>
      </c>
      <c r="D15" s="28" t="s">
        <v>9</v>
      </c>
      <c r="E15" s="32">
        <v>400</v>
      </c>
    </row>
    <row r="16" spans="1:5" x14ac:dyDescent="0.25">
      <c r="A16" s="34"/>
      <c r="B16" s="34"/>
      <c r="C16" s="28" t="s">
        <v>58</v>
      </c>
      <c r="D16" s="28" t="s">
        <v>42</v>
      </c>
      <c r="E16" s="32">
        <v>500</v>
      </c>
    </row>
    <row r="17" spans="1:5" x14ac:dyDescent="0.25">
      <c r="A17" s="34"/>
      <c r="B17" s="34"/>
      <c r="C17" s="28" t="s">
        <v>61</v>
      </c>
      <c r="D17" s="28" t="s">
        <v>65</v>
      </c>
      <c r="E17" s="32">
        <v>200</v>
      </c>
    </row>
    <row r="18" spans="1:5" x14ac:dyDescent="0.25">
      <c r="A18" s="34"/>
      <c r="B18" s="34"/>
      <c r="C18" s="28" t="s">
        <v>60</v>
      </c>
      <c r="D18" s="28" t="s">
        <v>64</v>
      </c>
      <c r="E18" s="32">
        <v>800</v>
      </c>
    </row>
    <row r="19" spans="1:5" x14ac:dyDescent="0.25">
      <c r="A19" s="34"/>
      <c r="B19" s="34"/>
      <c r="C19" s="28" t="s">
        <v>59</v>
      </c>
      <c r="D19" s="28" t="s">
        <v>43</v>
      </c>
      <c r="E19" s="32">
        <v>1000</v>
      </c>
    </row>
    <row r="20" spans="1:5" x14ac:dyDescent="0.25">
      <c r="A20" s="28" t="s">
        <v>9</v>
      </c>
      <c r="B20" s="28" t="s">
        <v>134</v>
      </c>
      <c r="C20" s="28" t="s">
        <v>63</v>
      </c>
      <c r="D20" s="28">
        <v>3</v>
      </c>
      <c r="E20" s="32"/>
    </row>
    <row r="21" spans="1:5" x14ac:dyDescent="0.25">
      <c r="A21" s="28" t="s">
        <v>16</v>
      </c>
      <c r="B21" s="28" t="s">
        <v>66</v>
      </c>
      <c r="C21" s="28" t="s">
        <v>68</v>
      </c>
      <c r="D21" s="28" t="s">
        <v>129</v>
      </c>
      <c r="E21" s="32">
        <v>500</v>
      </c>
    </row>
    <row r="22" spans="1:5" x14ac:dyDescent="0.25">
      <c r="A22" s="28" t="s">
        <v>129</v>
      </c>
      <c r="B22" s="28" t="s">
        <v>66</v>
      </c>
      <c r="C22" s="28" t="s">
        <v>69</v>
      </c>
      <c r="D22" s="28" t="s">
        <v>70</v>
      </c>
      <c r="E22" s="32">
        <v>500</v>
      </c>
    </row>
    <row r="23" spans="1:5" x14ac:dyDescent="0.25">
      <c r="A23" s="28" t="s">
        <v>70</v>
      </c>
      <c r="B23" s="28" t="s">
        <v>66</v>
      </c>
      <c r="C23" s="28" t="s">
        <v>132</v>
      </c>
      <c r="D23" s="28" t="s">
        <v>17</v>
      </c>
      <c r="E23" s="32">
        <v>1000</v>
      </c>
    </row>
    <row r="24" spans="1:5" x14ac:dyDescent="0.25">
      <c r="A24" s="28" t="s">
        <v>17</v>
      </c>
      <c r="B24" s="28" t="s">
        <v>66</v>
      </c>
      <c r="C24" s="28" t="s">
        <v>67</v>
      </c>
      <c r="D24" s="28" t="s">
        <v>130</v>
      </c>
      <c r="E24" s="32">
        <v>500</v>
      </c>
    </row>
    <row r="25" spans="1:5" x14ac:dyDescent="0.25">
      <c r="A25" s="28" t="s">
        <v>130</v>
      </c>
      <c r="B25" s="28" t="s">
        <v>134</v>
      </c>
      <c r="C25" s="28" t="s">
        <v>71</v>
      </c>
      <c r="D25" s="28">
        <v>4</v>
      </c>
      <c r="E25" s="32"/>
    </row>
    <row r="26" spans="1:5" x14ac:dyDescent="0.25">
      <c r="A26" s="28" t="s">
        <v>138</v>
      </c>
      <c r="B26" s="28" t="s">
        <v>66</v>
      </c>
      <c r="C26" s="28" t="s">
        <v>137</v>
      </c>
      <c r="D26" s="28" t="s">
        <v>138</v>
      </c>
      <c r="E26" s="32">
        <v>700</v>
      </c>
    </row>
    <row r="27" spans="1:5" x14ac:dyDescent="0.25">
      <c r="A27" s="28" t="s">
        <v>10</v>
      </c>
      <c r="B27" s="28" t="s">
        <v>73</v>
      </c>
      <c r="C27" s="28" t="s">
        <v>72</v>
      </c>
      <c r="D27" s="28" t="s">
        <v>10</v>
      </c>
      <c r="E27" s="32">
        <v>500</v>
      </c>
    </row>
    <row r="28" spans="1:5" x14ac:dyDescent="0.25">
      <c r="A28" s="28" t="s">
        <v>75</v>
      </c>
      <c r="B28" s="28" t="s">
        <v>73</v>
      </c>
      <c r="C28" s="28" t="s">
        <v>74</v>
      </c>
      <c r="D28" s="28" t="s">
        <v>75</v>
      </c>
      <c r="E28" s="32">
        <v>5000</v>
      </c>
    </row>
    <row r="29" spans="1:5" x14ac:dyDescent="0.25">
      <c r="A29" s="28" t="s">
        <v>33</v>
      </c>
      <c r="B29" s="28" t="s">
        <v>73</v>
      </c>
      <c r="C29" s="28" t="s">
        <v>76</v>
      </c>
      <c r="D29" s="28" t="s">
        <v>33</v>
      </c>
      <c r="E29" s="32">
        <v>700</v>
      </c>
    </row>
    <row r="30" spans="1:5" x14ac:dyDescent="0.25">
      <c r="A30" s="28" t="s">
        <v>45</v>
      </c>
      <c r="B30" s="28" t="s">
        <v>73</v>
      </c>
      <c r="C30" s="28" t="s">
        <v>79</v>
      </c>
      <c r="D30" s="28" t="s">
        <v>45</v>
      </c>
      <c r="E30" s="32">
        <v>500</v>
      </c>
    </row>
    <row r="31" spans="1:5" x14ac:dyDescent="0.25">
      <c r="A31" s="28" t="s">
        <v>77</v>
      </c>
      <c r="B31" s="28" t="s">
        <v>73</v>
      </c>
      <c r="C31" s="28" t="s">
        <v>80</v>
      </c>
      <c r="D31" s="28" t="s">
        <v>77</v>
      </c>
      <c r="E31" s="32">
        <v>300</v>
      </c>
    </row>
    <row r="32" spans="1:5" x14ac:dyDescent="0.25">
      <c r="A32" s="28" t="s">
        <v>78</v>
      </c>
      <c r="B32" s="28" t="s">
        <v>73</v>
      </c>
      <c r="C32" s="28" t="s">
        <v>81</v>
      </c>
      <c r="D32" s="28" t="s">
        <v>78</v>
      </c>
      <c r="E32" s="32">
        <v>1000</v>
      </c>
    </row>
    <row r="33" spans="1:5" x14ac:dyDescent="0.25">
      <c r="A33" s="28" t="s">
        <v>18</v>
      </c>
      <c r="B33" s="28" t="s">
        <v>121</v>
      </c>
      <c r="C33" s="28" t="s">
        <v>82</v>
      </c>
      <c r="D33" s="28" t="s">
        <v>18</v>
      </c>
      <c r="E33" s="32">
        <v>3000</v>
      </c>
    </row>
    <row r="34" spans="1:5" x14ac:dyDescent="0.25">
      <c r="A34" s="28" t="s">
        <v>19</v>
      </c>
      <c r="B34" s="28" t="s">
        <v>121</v>
      </c>
      <c r="C34" s="28" t="s">
        <v>83</v>
      </c>
      <c r="D34" s="28" t="s">
        <v>19</v>
      </c>
      <c r="E34" s="32">
        <v>1000</v>
      </c>
    </row>
    <row r="35" spans="1:5" x14ac:dyDescent="0.25">
      <c r="A35" s="28" t="s">
        <v>20</v>
      </c>
      <c r="B35" s="28" t="s">
        <v>121</v>
      </c>
      <c r="C35" s="28" t="s">
        <v>84</v>
      </c>
      <c r="D35" s="28" t="s">
        <v>20</v>
      </c>
      <c r="E35" s="32">
        <v>1000</v>
      </c>
    </row>
    <row r="36" spans="1:5" x14ac:dyDescent="0.25">
      <c r="A36" s="28" t="s">
        <v>89</v>
      </c>
      <c r="B36" s="28" t="s">
        <v>122</v>
      </c>
      <c r="C36" s="28" t="s">
        <v>86</v>
      </c>
      <c r="D36" s="28" t="s">
        <v>89</v>
      </c>
      <c r="E36" s="32">
        <v>30000</v>
      </c>
    </row>
    <row r="37" spans="1:5" x14ac:dyDescent="0.25">
      <c r="A37" s="28" t="s">
        <v>90</v>
      </c>
      <c r="B37" s="28" t="s">
        <v>123</v>
      </c>
      <c r="C37" s="28" t="s">
        <v>87</v>
      </c>
      <c r="D37" s="28" t="s">
        <v>90</v>
      </c>
      <c r="E37" s="32">
        <v>700</v>
      </c>
    </row>
    <row r="38" spans="1:5" x14ac:dyDescent="0.25">
      <c r="A38" s="28" t="s">
        <v>91</v>
      </c>
      <c r="B38" s="28" t="s">
        <v>121</v>
      </c>
      <c r="C38" s="28" t="s">
        <v>88</v>
      </c>
      <c r="D38" s="28" t="s">
        <v>91</v>
      </c>
      <c r="E38" s="32">
        <v>500</v>
      </c>
    </row>
    <row r="39" spans="1:5" x14ac:dyDescent="0.25">
      <c r="A39" s="28" t="s">
        <v>96</v>
      </c>
      <c r="B39" s="28" t="s">
        <v>124</v>
      </c>
      <c r="C39" s="28" t="s">
        <v>93</v>
      </c>
      <c r="D39" s="28" t="s">
        <v>96</v>
      </c>
      <c r="E39" s="32">
        <v>15000</v>
      </c>
    </row>
    <row r="40" spans="1:5" x14ac:dyDescent="0.25">
      <c r="A40" s="28" t="s">
        <v>97</v>
      </c>
      <c r="B40" s="28" t="s">
        <v>125</v>
      </c>
      <c r="C40" s="28" t="s">
        <v>94</v>
      </c>
      <c r="D40" s="28" t="s">
        <v>97</v>
      </c>
      <c r="E40" s="32">
        <v>10000</v>
      </c>
    </row>
    <row r="41" spans="1:5" x14ac:dyDescent="0.25">
      <c r="A41" s="28" t="s">
        <v>99</v>
      </c>
      <c r="B41" s="28" t="s">
        <v>125</v>
      </c>
      <c r="C41" s="28" t="s">
        <v>95</v>
      </c>
      <c r="D41" s="28" t="s">
        <v>99</v>
      </c>
      <c r="E41" s="32">
        <v>10000</v>
      </c>
    </row>
    <row r="42" spans="1:5" x14ac:dyDescent="0.25">
      <c r="A42" s="28" t="s">
        <v>104</v>
      </c>
      <c r="B42" s="28" t="s">
        <v>127</v>
      </c>
      <c r="C42" s="28" t="s">
        <v>101</v>
      </c>
      <c r="D42" s="28" t="s">
        <v>104</v>
      </c>
      <c r="E42" s="32">
        <v>5000</v>
      </c>
    </row>
    <row r="43" spans="1:5" x14ac:dyDescent="0.25">
      <c r="A43" s="28" t="s">
        <v>105</v>
      </c>
      <c r="B43" s="28" t="s">
        <v>127</v>
      </c>
      <c r="C43" s="28" t="s">
        <v>102</v>
      </c>
      <c r="D43" s="28" t="s">
        <v>105</v>
      </c>
      <c r="E43" s="32">
        <v>4000</v>
      </c>
    </row>
    <row r="44" spans="1:5" x14ac:dyDescent="0.25">
      <c r="A44" s="28" t="s">
        <v>106</v>
      </c>
      <c r="B44" s="28" t="s">
        <v>127</v>
      </c>
      <c r="C44" s="28" t="s">
        <v>103</v>
      </c>
      <c r="D44" s="28" t="s">
        <v>106</v>
      </c>
      <c r="E44" s="32">
        <v>1000</v>
      </c>
    </row>
    <row r="45" spans="1:5" x14ac:dyDescent="0.25">
      <c r="A45" s="28" t="s">
        <v>111</v>
      </c>
      <c r="B45" s="28" t="s">
        <v>127</v>
      </c>
      <c r="C45" s="28" t="s">
        <v>108</v>
      </c>
      <c r="D45" s="28" t="s">
        <v>111</v>
      </c>
      <c r="E45" s="32">
        <v>10000</v>
      </c>
    </row>
    <row r="46" spans="1:5" x14ac:dyDescent="0.25">
      <c r="A46" s="28" t="s">
        <v>112</v>
      </c>
      <c r="B46" s="28" t="s">
        <v>127</v>
      </c>
      <c r="C46" s="28" t="s">
        <v>109</v>
      </c>
      <c r="D46" s="28" t="s">
        <v>112</v>
      </c>
      <c r="E46" s="32">
        <v>20000</v>
      </c>
    </row>
    <row r="47" spans="1:5" x14ac:dyDescent="0.25">
      <c r="A47" s="28" t="s">
        <v>113</v>
      </c>
      <c r="B47" s="28" t="s">
        <v>127</v>
      </c>
      <c r="C47" s="28" t="s">
        <v>110</v>
      </c>
      <c r="D47" s="28" t="s">
        <v>113</v>
      </c>
      <c r="E47" s="32">
        <v>10000</v>
      </c>
    </row>
    <row r="48" spans="1:5" x14ac:dyDescent="0.25">
      <c r="A48" s="28" t="s">
        <v>134</v>
      </c>
      <c r="B48" s="28" t="s">
        <v>134</v>
      </c>
      <c r="C48" s="28" t="s">
        <v>114</v>
      </c>
      <c r="D48" s="28">
        <v>10</v>
      </c>
      <c r="E48" s="32"/>
    </row>
    <row r="49" spans="1:5" x14ac:dyDescent="0.25">
      <c r="A49" s="34"/>
      <c r="B49" s="34"/>
      <c r="C49" s="28" t="s">
        <v>54</v>
      </c>
      <c r="D49" s="28">
        <v>1</v>
      </c>
      <c r="E49" s="32"/>
    </row>
    <row r="50" spans="1:5" x14ac:dyDescent="0.25">
      <c r="A50" s="34"/>
      <c r="B50" s="34"/>
      <c r="C50" s="28" t="s">
        <v>61</v>
      </c>
      <c r="D50" s="28">
        <v>5</v>
      </c>
      <c r="E50" s="32"/>
    </row>
    <row r="51" spans="1:5" x14ac:dyDescent="0.25">
      <c r="A51" s="34"/>
      <c r="B51" s="34"/>
      <c r="C51" s="28" t="s">
        <v>92</v>
      </c>
      <c r="D51" s="28">
        <v>7</v>
      </c>
      <c r="E51" s="32"/>
    </row>
    <row r="52" spans="1:5" x14ac:dyDescent="0.25">
      <c r="A52" s="34"/>
      <c r="B52" s="34"/>
      <c r="C52" s="28" t="s">
        <v>107</v>
      </c>
      <c r="D52" s="28">
        <v>9</v>
      </c>
      <c r="E52" s="32"/>
    </row>
    <row r="53" spans="1:5" x14ac:dyDescent="0.25">
      <c r="A53" s="34"/>
      <c r="B53" s="34"/>
      <c r="C53" s="28" t="s">
        <v>100</v>
      </c>
      <c r="D53" s="28">
        <v>8</v>
      </c>
      <c r="E53" s="32"/>
    </row>
    <row r="54" spans="1:5" x14ac:dyDescent="0.25">
      <c r="A54" s="34"/>
      <c r="B54" s="34"/>
      <c r="C54" s="28" t="s">
        <v>85</v>
      </c>
      <c r="D54" s="28">
        <v>6</v>
      </c>
      <c r="E54" s="32"/>
    </row>
    <row r="55" spans="1:5" x14ac:dyDescent="0.25">
      <c r="A55" s="31" t="s">
        <v>135</v>
      </c>
      <c r="B55" s="35"/>
      <c r="C55" s="35"/>
      <c r="D55" s="35"/>
      <c r="E55" s="33">
        <v>150000</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3.2" x14ac:dyDescent="0.25"/>
  <cols>
    <col min="1" max="1" width="3.44140625" customWidth="1"/>
    <col min="2" max="2" width="13" style="1" customWidth="1"/>
    <col min="3" max="3" width="78.44140625" style="3" customWidth="1"/>
    <col min="4" max="4" width="7.88671875" style="1" bestFit="1" customWidth="1"/>
    <col min="5" max="5" width="9.6640625" style="1" bestFit="1" customWidth="1"/>
    <col min="6" max="6" width="8.33203125" style="1" bestFit="1" customWidth="1"/>
    <col min="7" max="7" width="10.5546875" style="1" bestFit="1" customWidth="1"/>
    <col min="8" max="8" width="10.109375" style="1" bestFit="1" customWidth="1"/>
    <col min="9" max="9" width="7.6640625" style="1" bestFit="1" customWidth="1"/>
    <col min="10" max="11" width="3.6640625" style="1" customWidth="1"/>
    <col min="12" max="27" width="3.6640625" customWidth="1"/>
  </cols>
  <sheetData>
    <row r="2" spans="2:27" ht="16.8" x14ac:dyDescent="0.3">
      <c r="B2" s="4" t="s">
        <v>35</v>
      </c>
    </row>
    <row r="4" spans="2:27" ht="13.8" thickBot="1" x14ac:dyDescent="0.3"/>
    <row r="5" spans="2:27" s="14" customFormat="1" ht="16.2" thickBot="1" x14ac:dyDescent="0.3">
      <c r="B5" s="17" t="s">
        <v>0</v>
      </c>
      <c r="C5" s="18" t="s">
        <v>1</v>
      </c>
      <c r="D5" s="727"/>
      <c r="E5" s="727"/>
      <c r="F5" s="727"/>
      <c r="G5" s="727"/>
      <c r="H5" s="727"/>
      <c r="I5" s="727"/>
      <c r="J5" s="727"/>
      <c r="K5" s="727"/>
      <c r="L5" s="727"/>
      <c r="M5" s="727"/>
      <c r="N5" s="727"/>
      <c r="O5" s="727"/>
      <c r="P5" s="727"/>
      <c r="Q5" s="727"/>
      <c r="R5" s="727"/>
      <c r="S5" s="727"/>
      <c r="T5" s="727"/>
      <c r="U5" s="727"/>
      <c r="V5" s="727"/>
      <c r="W5" s="727"/>
      <c r="X5" s="728"/>
      <c r="Y5" s="19"/>
      <c r="Z5" s="19"/>
      <c r="AA5" s="20"/>
    </row>
    <row r="6" spans="2:27" ht="13.8" thickBot="1" x14ac:dyDescent="0.3">
      <c r="B6" s="21"/>
      <c r="C6"/>
      <c r="D6" s="15">
        <v>1</v>
      </c>
      <c r="E6" s="2">
        <v>2</v>
      </c>
      <c r="F6" s="2">
        <v>3</v>
      </c>
      <c r="G6" s="16">
        <v>4</v>
      </c>
      <c r="H6" s="15">
        <v>5</v>
      </c>
      <c r="I6" s="2">
        <v>6</v>
      </c>
      <c r="J6" s="2">
        <v>7</v>
      </c>
      <c r="K6" s="16">
        <v>8</v>
      </c>
      <c r="L6" s="15">
        <v>9</v>
      </c>
      <c r="M6" s="2">
        <v>10</v>
      </c>
      <c r="N6" s="2">
        <v>11</v>
      </c>
      <c r="O6" s="16">
        <v>12</v>
      </c>
      <c r="P6" s="15">
        <v>13</v>
      </c>
      <c r="Q6" s="2">
        <v>14</v>
      </c>
      <c r="R6" s="2">
        <v>15</v>
      </c>
      <c r="S6" s="16">
        <v>16</v>
      </c>
      <c r="T6" s="15">
        <v>17</v>
      </c>
      <c r="U6" s="2">
        <v>18</v>
      </c>
      <c r="V6" s="2">
        <v>19</v>
      </c>
      <c r="W6" s="16">
        <v>20</v>
      </c>
      <c r="X6" s="15">
        <v>21</v>
      </c>
      <c r="Y6" s="2">
        <v>22</v>
      </c>
      <c r="Z6" s="2">
        <v>23</v>
      </c>
      <c r="AA6" s="16">
        <v>24</v>
      </c>
    </row>
    <row r="7" spans="2:27" ht="12.75" customHeight="1" x14ac:dyDescent="0.25">
      <c r="B7" s="21"/>
      <c r="C7"/>
      <c r="D7" s="729" t="s">
        <v>36</v>
      </c>
      <c r="E7" s="730"/>
      <c r="F7" s="730"/>
      <c r="G7" s="731"/>
      <c r="H7" s="732" t="s">
        <v>37</v>
      </c>
      <c r="I7" s="730"/>
      <c r="J7" s="730"/>
      <c r="K7" s="731"/>
      <c r="L7" s="732" t="s">
        <v>38</v>
      </c>
      <c r="M7" s="730"/>
      <c r="N7" s="730"/>
      <c r="O7" s="731"/>
      <c r="P7" s="732" t="s">
        <v>39</v>
      </c>
      <c r="Q7" s="730"/>
      <c r="R7" s="730"/>
      <c r="S7" s="731"/>
      <c r="T7" s="732" t="s">
        <v>40</v>
      </c>
      <c r="U7" s="730"/>
      <c r="V7" s="730"/>
      <c r="W7" s="731"/>
      <c r="X7" s="732" t="s">
        <v>41</v>
      </c>
      <c r="Y7" s="730"/>
      <c r="Z7" s="730"/>
      <c r="AA7" s="731"/>
    </row>
    <row r="8" spans="2:27" s="10" customFormat="1" ht="15.6" x14ac:dyDescent="0.25">
      <c r="B8" s="11" t="s">
        <v>11</v>
      </c>
      <c r="C8" s="9" t="s">
        <v>12</v>
      </c>
      <c r="D8" s="723">
        <v>30000</v>
      </c>
      <c r="E8" s="724"/>
      <c r="F8" s="724"/>
      <c r="G8" s="725"/>
      <c r="H8" s="723"/>
      <c r="I8" s="724"/>
      <c r="J8" s="724"/>
      <c r="K8" s="725"/>
      <c r="L8" s="723"/>
      <c r="M8" s="724"/>
      <c r="N8" s="724"/>
      <c r="O8" s="725"/>
      <c r="P8" s="723"/>
      <c r="Q8" s="724"/>
      <c r="R8" s="724"/>
      <c r="S8" s="725"/>
      <c r="T8" s="723"/>
      <c r="U8" s="724"/>
      <c r="V8" s="724"/>
      <c r="W8" s="725"/>
      <c r="X8" s="723"/>
      <c r="Y8" s="724"/>
      <c r="Z8" s="724"/>
      <c r="AA8" s="725"/>
    </row>
    <row r="9" spans="2:27" s="10" customFormat="1" ht="15.6" x14ac:dyDescent="0.25">
      <c r="B9" s="11" t="s">
        <v>14</v>
      </c>
      <c r="C9" s="9" t="s">
        <v>21</v>
      </c>
      <c r="D9" s="723"/>
      <c r="E9" s="724"/>
      <c r="F9" s="724"/>
      <c r="G9" s="725"/>
      <c r="H9" s="723">
        <v>5000</v>
      </c>
      <c r="I9" s="724"/>
      <c r="J9" s="724"/>
      <c r="K9" s="725"/>
      <c r="L9" s="723">
        <v>5000</v>
      </c>
      <c r="M9" s="724"/>
      <c r="N9" s="724"/>
      <c r="O9" s="725"/>
      <c r="P9" s="723">
        <v>5000</v>
      </c>
      <c r="Q9" s="724"/>
      <c r="R9" s="724"/>
      <c r="S9" s="725"/>
      <c r="T9" s="723">
        <v>5000</v>
      </c>
      <c r="U9" s="724"/>
      <c r="V9" s="724"/>
      <c r="W9" s="725"/>
      <c r="X9" s="723"/>
      <c r="Y9" s="724"/>
      <c r="Z9" s="724"/>
      <c r="AA9" s="725"/>
    </row>
    <row r="10" spans="2:27" s="10" customFormat="1" ht="16.2" thickBot="1" x14ac:dyDescent="0.3">
      <c r="B10" s="11" t="s">
        <v>15</v>
      </c>
      <c r="C10" s="9" t="s">
        <v>22</v>
      </c>
      <c r="D10" s="723"/>
      <c r="E10" s="724"/>
      <c r="F10" s="724"/>
      <c r="G10" s="725"/>
      <c r="H10" s="723"/>
      <c r="I10" s="724"/>
      <c r="J10" s="724"/>
      <c r="K10" s="725"/>
      <c r="L10" s="723"/>
      <c r="M10" s="724"/>
      <c r="N10" s="724"/>
      <c r="O10" s="725"/>
      <c r="P10" s="723"/>
      <c r="Q10" s="724"/>
      <c r="R10" s="724"/>
      <c r="S10" s="725"/>
      <c r="T10" s="723"/>
      <c r="U10" s="724"/>
      <c r="V10" s="724"/>
      <c r="W10" s="725"/>
      <c r="X10" s="723">
        <v>10000</v>
      </c>
      <c r="Y10" s="724"/>
      <c r="Z10" s="724"/>
      <c r="AA10" s="725"/>
    </row>
    <row r="11" spans="2:27" ht="15.6" x14ac:dyDescent="0.25">
      <c r="B11" s="12">
        <v>2</v>
      </c>
      <c r="C11" s="13" t="s">
        <v>26</v>
      </c>
      <c r="D11" s="723"/>
      <c r="E11" s="724"/>
      <c r="F11" s="724"/>
      <c r="G11" s="725"/>
      <c r="H11" s="723"/>
      <c r="I11" s="724"/>
      <c r="J11" s="724"/>
      <c r="K11" s="725"/>
      <c r="L11" s="723">
        <v>20000</v>
      </c>
      <c r="M11" s="724"/>
      <c r="N11" s="724"/>
      <c r="O11" s="725"/>
      <c r="P11" s="723">
        <v>40000</v>
      </c>
      <c r="Q11" s="724"/>
      <c r="R11" s="724"/>
      <c r="S11" s="725"/>
      <c r="T11" s="723">
        <v>10000</v>
      </c>
      <c r="U11" s="724"/>
      <c r="V11" s="724"/>
      <c r="W11" s="725"/>
      <c r="X11" s="723">
        <v>10000</v>
      </c>
      <c r="Y11" s="724"/>
      <c r="Z11" s="724"/>
      <c r="AA11" s="725"/>
    </row>
    <row r="12" spans="2:27" ht="15.6" x14ac:dyDescent="0.25">
      <c r="B12" s="6" t="s">
        <v>16</v>
      </c>
      <c r="C12" s="5" t="s">
        <v>31</v>
      </c>
      <c r="D12" s="723"/>
      <c r="E12" s="724"/>
      <c r="F12" s="724"/>
      <c r="G12" s="725"/>
      <c r="H12" s="726">
        <v>10000</v>
      </c>
      <c r="I12" s="724"/>
      <c r="J12" s="724"/>
      <c r="K12" s="725"/>
      <c r="L12" s="723">
        <v>25000</v>
      </c>
      <c r="M12" s="724"/>
      <c r="N12" s="724"/>
      <c r="O12" s="725"/>
      <c r="P12" s="723">
        <v>25000</v>
      </c>
      <c r="Q12" s="724"/>
      <c r="R12" s="724"/>
      <c r="S12" s="725"/>
      <c r="T12" s="723">
        <v>25000</v>
      </c>
      <c r="U12" s="724"/>
      <c r="V12" s="724"/>
      <c r="W12" s="725"/>
      <c r="X12" s="723">
        <v>5000</v>
      </c>
      <c r="Y12" s="724"/>
      <c r="Z12" s="724"/>
      <c r="AA12" s="725"/>
    </row>
    <row r="13" spans="2:27" s="8" customFormat="1" ht="16.2" thickBot="1" x14ac:dyDescent="0.3">
      <c r="B13" s="6" t="s">
        <v>17</v>
      </c>
      <c r="C13" s="5" t="s">
        <v>32</v>
      </c>
      <c r="D13" s="723"/>
      <c r="E13" s="724"/>
      <c r="F13" s="724"/>
      <c r="G13" s="725"/>
      <c r="H13" s="723"/>
      <c r="I13" s="724"/>
      <c r="J13" s="724"/>
      <c r="K13" s="725"/>
      <c r="L13" s="723">
        <v>15000</v>
      </c>
      <c r="M13" s="724"/>
      <c r="N13" s="724"/>
      <c r="O13" s="725"/>
      <c r="P13" s="723">
        <v>15000</v>
      </c>
      <c r="Q13" s="724"/>
      <c r="R13" s="724"/>
      <c r="S13" s="725"/>
      <c r="T13" s="723">
        <v>20000</v>
      </c>
      <c r="U13" s="724"/>
      <c r="V13" s="724"/>
      <c r="W13" s="725"/>
      <c r="X13" s="723">
        <v>10000</v>
      </c>
      <c r="Y13" s="724"/>
      <c r="Z13" s="724"/>
      <c r="AA13" s="725"/>
    </row>
    <row r="14" spans="2:27" s="7" customFormat="1" ht="15.6" x14ac:dyDescent="0.25">
      <c r="B14" s="12">
        <v>4</v>
      </c>
      <c r="C14" s="13" t="s">
        <v>27</v>
      </c>
      <c r="D14" s="723"/>
      <c r="E14" s="724"/>
      <c r="F14" s="724"/>
      <c r="G14" s="725"/>
      <c r="H14" s="723"/>
      <c r="I14" s="724"/>
      <c r="J14" s="724"/>
      <c r="K14" s="725"/>
      <c r="L14" s="723"/>
      <c r="M14" s="724"/>
      <c r="N14" s="724"/>
      <c r="O14" s="725"/>
      <c r="P14" s="723"/>
      <c r="Q14" s="724"/>
      <c r="R14" s="724"/>
      <c r="S14" s="725"/>
      <c r="T14" s="723"/>
      <c r="U14" s="724"/>
      <c r="V14" s="724"/>
      <c r="W14" s="725"/>
      <c r="X14" s="723">
        <v>7000</v>
      </c>
      <c r="Y14" s="724"/>
      <c r="Z14" s="724"/>
      <c r="AA14" s="725"/>
    </row>
    <row r="15" spans="2:27" s="7" customFormat="1" ht="15.6" x14ac:dyDescent="0.25">
      <c r="B15" s="6" t="s">
        <v>18</v>
      </c>
      <c r="C15" s="5" t="s">
        <v>23</v>
      </c>
      <c r="D15" s="723"/>
      <c r="E15" s="724"/>
      <c r="F15" s="724"/>
      <c r="G15" s="725"/>
      <c r="H15" s="723"/>
      <c r="I15" s="724"/>
      <c r="J15" s="724"/>
      <c r="K15" s="725"/>
      <c r="L15" s="723"/>
      <c r="M15" s="724"/>
      <c r="N15" s="724"/>
      <c r="O15" s="725"/>
      <c r="P15" s="723"/>
      <c r="Q15" s="724"/>
      <c r="R15" s="724"/>
      <c r="S15" s="725"/>
      <c r="T15" s="723">
        <v>4000</v>
      </c>
      <c r="U15" s="724"/>
      <c r="V15" s="724"/>
      <c r="W15" s="725"/>
      <c r="X15" s="723">
        <v>4000</v>
      </c>
      <c r="Y15" s="724"/>
      <c r="Z15" s="724"/>
      <c r="AA15" s="725"/>
    </row>
    <row r="16" spans="2:27" ht="15.6" x14ac:dyDescent="0.25">
      <c r="B16" s="6" t="s">
        <v>19</v>
      </c>
      <c r="C16" s="5" t="s">
        <v>24</v>
      </c>
      <c r="D16" s="723"/>
      <c r="E16" s="724"/>
      <c r="F16" s="724"/>
      <c r="G16" s="725"/>
      <c r="H16" s="723"/>
      <c r="I16" s="724"/>
      <c r="J16" s="724"/>
      <c r="K16" s="725"/>
      <c r="L16" s="723"/>
      <c r="M16" s="724"/>
      <c r="N16" s="724"/>
      <c r="O16" s="725"/>
      <c r="P16" s="723"/>
      <c r="Q16" s="724"/>
      <c r="R16" s="724"/>
      <c r="S16" s="725"/>
      <c r="T16" s="723">
        <v>2500</v>
      </c>
      <c r="U16" s="724"/>
      <c r="V16" s="724"/>
      <c r="W16" s="725"/>
      <c r="X16" s="723">
        <v>2500</v>
      </c>
      <c r="Y16" s="724"/>
      <c r="Z16" s="724"/>
      <c r="AA16" s="725"/>
    </row>
    <row r="17" spans="2:27" s="8" customFormat="1" ht="15.6" x14ac:dyDescent="0.25">
      <c r="B17" s="6" t="s">
        <v>20</v>
      </c>
      <c r="C17" s="5" t="s">
        <v>25</v>
      </c>
      <c r="D17" s="723"/>
      <c r="E17" s="724"/>
      <c r="F17" s="724"/>
      <c r="G17" s="725"/>
      <c r="H17" s="723"/>
      <c r="I17" s="724"/>
      <c r="J17" s="724"/>
      <c r="K17" s="725"/>
      <c r="L17" s="723"/>
      <c r="M17" s="724"/>
      <c r="N17" s="724"/>
      <c r="O17" s="725"/>
      <c r="P17" s="723"/>
      <c r="Q17" s="724"/>
      <c r="R17" s="724"/>
      <c r="S17" s="725"/>
      <c r="T17" s="723"/>
      <c r="U17" s="724"/>
      <c r="V17" s="724"/>
      <c r="W17" s="725"/>
      <c r="X17" s="723">
        <v>0</v>
      </c>
      <c r="Y17" s="724"/>
      <c r="Z17" s="724"/>
      <c r="AA17" s="725"/>
    </row>
    <row r="18" spans="2:27" s="7" customFormat="1" ht="15.6" x14ac:dyDescent="0.25">
      <c r="B18" s="6" t="s">
        <v>28</v>
      </c>
      <c r="C18" s="5" t="s">
        <v>29</v>
      </c>
      <c r="D18" s="723"/>
      <c r="E18" s="724"/>
      <c r="F18" s="724"/>
      <c r="G18" s="725"/>
      <c r="H18" s="723">
        <f>20000*35%</f>
        <v>7000</v>
      </c>
      <c r="I18" s="724"/>
      <c r="J18" s="724"/>
      <c r="K18" s="725"/>
      <c r="L18" s="723">
        <f>13000/4</f>
        <v>3250</v>
      </c>
      <c r="M18" s="724"/>
      <c r="N18" s="724"/>
      <c r="O18" s="725"/>
      <c r="P18" s="723">
        <f>13000/4</f>
        <v>3250</v>
      </c>
      <c r="Q18" s="724"/>
      <c r="R18" s="724"/>
      <c r="S18" s="725"/>
      <c r="T18" s="723">
        <f>13000/4</f>
        <v>3250</v>
      </c>
      <c r="U18" s="724"/>
      <c r="V18" s="724"/>
      <c r="W18" s="725"/>
      <c r="X18" s="723">
        <f>13000/4</f>
        <v>3250</v>
      </c>
      <c r="Y18" s="724"/>
      <c r="Z18" s="724"/>
      <c r="AA18" s="725"/>
    </row>
  </sheetData>
  <mergeCells count="73">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 ref="L10:O10"/>
    <mergeCell ref="L9:O9"/>
    <mergeCell ref="T8:W8"/>
    <mergeCell ref="X8:AA8"/>
    <mergeCell ref="L8:O8"/>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D13:G13"/>
    <mergeCell ref="H13:K13"/>
    <mergeCell ref="L13:O13"/>
    <mergeCell ref="P13:S13"/>
    <mergeCell ref="X14:AA14"/>
    <mergeCell ref="T13:W13"/>
    <mergeCell ref="X13:AA13"/>
    <mergeCell ref="X15:AA15"/>
    <mergeCell ref="D14:G14"/>
    <mergeCell ref="H14:K14"/>
    <mergeCell ref="L14:O14"/>
    <mergeCell ref="P14:S14"/>
    <mergeCell ref="T14:W14"/>
    <mergeCell ref="D15:G15"/>
    <mergeCell ref="H15:K15"/>
    <mergeCell ref="L15:O15"/>
    <mergeCell ref="P15:S15"/>
    <mergeCell ref="T15:W15"/>
    <mergeCell ref="X16:AA16"/>
    <mergeCell ref="D17:G17"/>
    <mergeCell ref="H17:K17"/>
    <mergeCell ref="L17:O17"/>
    <mergeCell ref="P17:S17"/>
    <mergeCell ref="T17:W17"/>
    <mergeCell ref="X17:AA17"/>
    <mergeCell ref="D16:G16"/>
    <mergeCell ref="H16:K16"/>
    <mergeCell ref="L16:O16"/>
    <mergeCell ref="P16:S16"/>
    <mergeCell ref="T16:W16"/>
    <mergeCell ref="T18:W18"/>
    <mergeCell ref="X18:AA18"/>
    <mergeCell ref="D18:G18"/>
    <mergeCell ref="H18:K18"/>
    <mergeCell ref="L18:O18"/>
    <mergeCell ref="P18:S18"/>
  </mergeCells>
  <phoneticPr fontId="12"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23</vt:i4>
      </vt:variant>
      <vt:variant>
        <vt:lpstr>Intervalos Nomeados</vt:lpstr>
      </vt:variant>
      <vt:variant>
        <vt:i4>8</vt:i4>
      </vt:variant>
    </vt:vector>
  </HeadingPairs>
  <TitlesOfParts>
    <vt:vector size="31" baseType="lpstr">
      <vt:lpstr>Project Charter</vt:lpstr>
      <vt:lpstr>WBS-MACRO-ATIVIDADE</vt:lpstr>
      <vt:lpstr>WBS_Detalhado (ordem etapas)</vt:lpstr>
      <vt:lpstr>WBS_Detalhado (ordem depend)</vt:lpstr>
      <vt:lpstr>SAM SRM</vt:lpstr>
      <vt:lpstr>Diagrama de Seta</vt:lpstr>
      <vt:lpstr>Diagrama de rede-precedência</vt:lpstr>
      <vt:lpstr>Orçamento</vt:lpstr>
      <vt:lpstr>Execução Orçamentária</vt:lpstr>
      <vt:lpstr>Paramêtros</vt:lpstr>
      <vt:lpstr>Capa</vt:lpstr>
      <vt:lpstr>Identificar riscos</vt:lpstr>
      <vt:lpstr>Quantificar os riscos</vt:lpstr>
      <vt:lpstr>Qualificar os riscos</vt:lpstr>
      <vt:lpstr>Sensibilidade ao Risco</vt:lpstr>
      <vt:lpstr>Plano de Comunicação</vt:lpstr>
      <vt:lpstr>Planejamento de RH</vt:lpstr>
      <vt:lpstr>Organograma da Equipe</vt:lpstr>
      <vt:lpstr>Mapa Competência - Equipe</vt:lpstr>
      <vt:lpstr>Mapa de Responsabilidade</vt:lpstr>
      <vt:lpstr>Gráfico de Gantt</vt:lpstr>
      <vt:lpstr>PV_dependência</vt:lpstr>
      <vt:lpstr>Cronograma_de_Custos (2)</vt:lpstr>
      <vt:lpstr>'Cronograma_de_Custos (2)'!Area_de_impressao</vt:lpstr>
      <vt:lpstr>'Identificar riscos'!Area_de_impressao</vt:lpstr>
      <vt:lpstr>'Mapa Competência - Equipe'!Area_de_impressao</vt:lpstr>
      <vt:lpstr>'Mapa de Responsabilidade'!Area_de_impressao</vt:lpstr>
      <vt:lpstr>'Qualificar os riscos'!Area_de_impressao</vt:lpstr>
      <vt:lpstr>'Quantificar os riscos'!Area_de_impressao</vt:lpstr>
      <vt:lpstr>Início_do_projeto</vt:lpstr>
      <vt:lpstr>Semana_de_exibição</vt:lpstr>
    </vt:vector>
  </TitlesOfParts>
  <Company>FECAP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Marcella Diniz</cp:lastModifiedBy>
  <cp:lastPrinted>2024-08-29T21:33:37Z</cp:lastPrinted>
  <dcterms:created xsi:type="dcterms:W3CDTF">2009-09-10T00:53:44Z</dcterms:created>
  <dcterms:modified xsi:type="dcterms:W3CDTF">2025-11-10T04:36:52Z</dcterms:modified>
</cp:coreProperties>
</file>